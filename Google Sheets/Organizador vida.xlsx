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objetivos" sheetId="1" r:id="rId4"/>
    <sheet state="visible" name="Calendario" sheetId="2" r:id="rId5"/>
    <sheet state="visible" name="Estudio" sheetId="3" r:id="rId6"/>
    <sheet state="visible" name="Proyectos" sheetId="4" r:id="rId7"/>
    <sheet state="visible" name="Input diario" sheetId="5" r:id="rId8"/>
    <sheet state="visible" name="Tareas" sheetId="6" r:id="rId9"/>
    <sheet state="visible" name="database" sheetId="7" r:id="rId10"/>
  </sheets>
  <definedNames/>
  <calcPr/>
</workbook>
</file>

<file path=xl/sharedStrings.xml><?xml version="1.0" encoding="utf-8"?>
<sst xmlns="http://schemas.openxmlformats.org/spreadsheetml/2006/main" count="355" uniqueCount="181">
  <si>
    <t>Calendario Semanal Domingos</t>
  </si>
  <si>
    <t>Revision diaria antes de dormir</t>
  </si>
  <si>
    <t>Horas reservadas de estudio</t>
  </si>
  <si>
    <t>Mantener balance clases neto &gt;0</t>
  </si>
  <si>
    <t>Apuntes al día</t>
  </si>
  <si>
    <t>Repasos semanales</t>
  </si>
  <si>
    <t>Tracking tareas individuales</t>
  </si>
  <si>
    <t>ORden plazos estricto</t>
  </si>
  <si>
    <t>Finanzas revisadas</t>
  </si>
  <si>
    <t>Todo 2 semanas antelacion</t>
  </si>
  <si>
    <t>Constancia</t>
  </si>
  <si>
    <t>Respeto clases</t>
  </si>
  <si>
    <t>Organizar plazos</t>
  </si>
  <si>
    <t>Notas</t>
  </si>
  <si>
    <t>Adelantar siempre</t>
  </si>
  <si>
    <t>Mantener caracter expansivo</t>
  </si>
  <si>
    <t>Crea</t>
  </si>
  <si>
    <t>Limitar horas que le dedico</t>
  </si>
  <si>
    <t>Horario sueño constante</t>
  </si>
  <si>
    <t>Recuperación imprevistos</t>
  </si>
  <si>
    <t>Feedback</t>
  </si>
  <si>
    <t>Priorizar examenes</t>
  </si>
  <si>
    <t>Informes laboratorio 1 semana antelacion</t>
  </si>
  <si>
    <t>Participación en clase</t>
  </si>
  <si>
    <t>Buen rollo en la sala</t>
  </si>
  <si>
    <t>No pasarme todo el dia en el  crea</t>
  </si>
  <si>
    <t>Organizar exit para 2026</t>
  </si>
  <si>
    <t>Horas proyecto semanales</t>
  </si>
  <si>
    <t>Lectura &gt;30min al dia</t>
  </si>
  <si>
    <t>Mantenerse humilde</t>
  </si>
  <si>
    <t>Proyectos</t>
  </si>
  <si>
    <t>Comer de tupper !!</t>
  </si>
  <si>
    <t>No snacks</t>
  </si>
  <si>
    <t>&gt;10k pasos media semanal</t>
  </si>
  <si>
    <t>Tracking proyectos</t>
  </si>
  <si>
    <t>Progresión</t>
  </si>
  <si>
    <t xml:space="preserve">Alternar proyectos </t>
  </si>
  <si>
    <t>Forbes 30 before 30</t>
  </si>
  <si>
    <t>Fisico</t>
  </si>
  <si>
    <t>Esfuerzo postura</t>
  </si>
  <si>
    <t>gym 2026</t>
  </si>
  <si>
    <t>No tener miedo a no tener ni idea</t>
  </si>
  <si>
    <t>Leetcode un par de veces a la semana</t>
  </si>
  <si>
    <t>Buscar siempre nuevas ideas</t>
  </si>
  <si>
    <t>Salud Mental</t>
  </si>
  <si>
    <t>Orden</t>
  </si>
  <si>
    <t>Vida social</t>
  </si>
  <si>
    <t>No pasarte con la dieta (se puede comer mal de vez en cuando</t>
  </si>
  <si>
    <t>Valorar fisico (fotos/mirarse)</t>
  </si>
  <si>
    <t>Proteina (chill)</t>
  </si>
  <si>
    <t>Reconocer siempre logros</t>
  </si>
  <si>
    <t>Evaluación mental diaria</t>
  </si>
  <si>
    <t>Constancia pastillas tdh</t>
  </si>
  <si>
    <t>Domingo recoger cuarto / planchar</t>
  </si>
  <si>
    <t>Escribir tareas SIEMPRE</t>
  </si>
  <si>
    <t>Trabajo cuantizado</t>
  </si>
  <si>
    <t>Drenar no leidos</t>
  </si>
  <si>
    <t>Iniciativa planes</t>
  </si>
  <si>
    <t>Check amigos constante</t>
  </si>
  <si>
    <t>&gt;9:00pm =&gt; no importa</t>
  </si>
  <si>
    <t>Salud mental</t>
  </si>
  <si>
    <t>Prevenir burnout con antelacion</t>
  </si>
  <si>
    <t>Seguimiento tareas en google Sheets</t>
  </si>
  <si>
    <t>Reflexión semanal</t>
  </si>
  <si>
    <t>Abrirse periodicamente sobre probleemas</t>
  </si>
  <si>
    <t>Exposicion nuevos entornos</t>
  </si>
  <si>
    <t>Nunca para atrás y mantener buena relacion familia</t>
  </si>
  <si>
    <t>Seguir objetivos -&gt; buen estado mental</t>
  </si>
  <si>
    <t>Detectar patrones y bucles malos</t>
  </si>
  <si>
    <t>Rutina diaria ropa</t>
  </si>
  <si>
    <t>Contabilizar variaciones</t>
  </si>
  <si>
    <t>Recoger siempre después</t>
  </si>
  <si>
    <t xml:space="preserve">Salir +1 vez por semana </t>
  </si>
  <si>
    <t>Mantenerse extrovertido</t>
  </si>
  <si>
    <t>NO AISLARSE!!!!</t>
  </si>
  <si>
    <t>Time -&gt; intervals [)</t>
  </si>
  <si>
    <t>Monday</t>
  </si>
  <si>
    <t>Tuesday</t>
  </si>
  <si>
    <t>Wednesday</t>
  </si>
  <si>
    <t>Thursday</t>
  </si>
  <si>
    <t>Friday</t>
  </si>
  <si>
    <t>Saturday</t>
  </si>
  <si>
    <t>Sunday</t>
  </si>
  <si>
    <t>[Clases] Resis</t>
  </si>
  <si>
    <t>[Clases] Circuitos</t>
  </si>
  <si>
    <t>[General] Placeholder</t>
  </si>
  <si>
    <t>[Clases] Termo</t>
  </si>
  <si>
    <t>[Tareas] Compras crea</t>
  </si>
  <si>
    <t>[Laboratorios] Regu</t>
  </si>
  <si>
    <t>[General] Donacion esperma [1h]</t>
  </si>
  <si>
    <t>[Clases] Tmm</t>
  </si>
  <si>
    <t>[Clases] Analogica</t>
  </si>
  <si>
    <t>[Clases] Regu</t>
  </si>
  <si>
    <t>[Laboratorios] Resis</t>
  </si>
  <si>
    <t>[Clases] Ciencia [0.5h]</t>
  </si>
  <si>
    <t>[Clases] Regu [0.5h]</t>
  </si>
  <si>
    <t>[Tareas] Reglas 3a prueba maker</t>
  </si>
  <si>
    <t>[Tareas] Aduanas</t>
  </si>
  <si>
    <t>Resumen asignaturas</t>
  </si>
  <si>
    <t>Resis</t>
  </si>
  <si>
    <t>Regu</t>
  </si>
  <si>
    <t>Analogica</t>
  </si>
  <si>
    <t>Tmm</t>
  </si>
  <si>
    <t>Ciencia</t>
  </si>
  <si>
    <t>Circuitos</t>
  </si>
  <si>
    <t>Resumen</t>
  </si>
  <si>
    <t>Apuntes</t>
  </si>
  <si>
    <t>Clases Si</t>
  </si>
  <si>
    <t>Tema 1</t>
  </si>
  <si>
    <t>Clases No</t>
  </si>
  <si>
    <t>Tema 2</t>
  </si>
  <si>
    <t>T estudio</t>
  </si>
  <si>
    <t>Tema 3</t>
  </si>
  <si>
    <t>T apuntes</t>
  </si>
  <si>
    <t>Tema 4</t>
  </si>
  <si>
    <t>Plazos</t>
  </si>
  <si>
    <t>Tema 5</t>
  </si>
  <si>
    <t>Prox lab</t>
  </si>
  <si>
    <t>Tema 6</t>
  </si>
  <si>
    <t>T prox lab</t>
  </si>
  <si>
    <t>Tema 7</t>
  </si>
  <si>
    <t>Hora</t>
  </si>
  <si>
    <t>Prox informe</t>
  </si>
  <si>
    <t>Tema 8</t>
  </si>
  <si>
    <t>T prox informe</t>
  </si>
  <si>
    <t>Tema 9</t>
  </si>
  <si>
    <t>Prox examen</t>
  </si>
  <si>
    <t>Tema 10</t>
  </si>
  <si>
    <t>T prox examen</t>
  </si>
  <si>
    <t>Tema 11</t>
  </si>
  <si>
    <t>Tema 12</t>
  </si>
  <si>
    <t>Tema 13</t>
  </si>
  <si>
    <t>Concepto</t>
  </si>
  <si>
    <t>Prioridad</t>
  </si>
  <si>
    <t>Tiempo limite</t>
  </si>
  <si>
    <t>Unificación estudio basbat y este excel</t>
  </si>
  <si>
    <t>Tracking</t>
  </si>
  <si>
    <t>Diario</t>
  </si>
  <si>
    <t>Semanal</t>
  </si>
  <si>
    <t>Tareas</t>
  </si>
  <si>
    <t>Clases</t>
  </si>
  <si>
    <t>lastMod</t>
  </si>
  <si>
    <t>wDay</t>
  </si>
  <si>
    <t>Fecha</t>
  </si>
  <si>
    <t>mental state</t>
  </si>
  <si>
    <t>Clean room</t>
  </si>
  <si>
    <t>Inicio</t>
  </si>
  <si>
    <t>Final</t>
  </si>
  <si>
    <t>%Comp</t>
  </si>
  <si>
    <t>Nombre</t>
  </si>
  <si>
    <t>Asistencia</t>
  </si>
  <si>
    <t>Type</t>
  </si>
  <si>
    <t>Name</t>
  </si>
  <si>
    <t>Raw</t>
  </si>
  <si>
    <t>Columna</t>
  </si>
  <si>
    <t>End</t>
  </si>
  <si>
    <t>L</t>
  </si>
  <si>
    <t>Motivation</t>
  </si>
  <si>
    <t>Ironing</t>
  </si>
  <si>
    <t>Tarea 1</t>
  </si>
  <si>
    <t>Schedule tmrw</t>
  </si>
  <si>
    <t>Wash clothes</t>
  </si>
  <si>
    <t>30min reading</t>
  </si>
  <si>
    <t>Deadline</t>
  </si>
  <si>
    <t>Prio</t>
  </si>
  <si>
    <t>Prep</t>
  </si>
  <si>
    <t>ETA</t>
  </si>
  <si>
    <t>Progreso %</t>
  </si>
  <si>
    <t>Nota de uso</t>
  </si>
  <si>
    <t>Aduanas</t>
  </si>
  <si>
    <t>La prioridad debe de ser un numero del 1 al 5, que se redondeará hacia arriba, todo lo que sea por debajo de 3 tendrá la misma prioridad pero saldrá antes</t>
  </si>
  <si>
    <t>Reglas 3a prueba maker</t>
  </si>
  <si>
    <t>3 1os informes resis</t>
  </si>
  <si>
    <t>Compras crea</t>
  </si>
  <si>
    <t>Mandar mensajes aliexpress</t>
  </si>
  <si>
    <t>Terminar excel becas</t>
  </si>
  <si>
    <t>clase</t>
  </si>
  <si>
    <t>Prueba 2</t>
  </si>
  <si>
    <t>Termo</t>
  </si>
  <si>
    <t>a</t>
  </si>
  <si>
    <t>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</si>
</sst>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h:mm"/>
    <numFmt numFmtId="165" formatCode="hh&quot;:&quot;mm"/>
    <numFmt numFmtId="166" formatCode="dd&quot;/&quot;mm&quot;/&quot;yy"/>
    <numFmt numFmtId="167" formatCode="d/m/yy"/>
    <numFmt numFmtId="168" formatCode="dd/mm/yy"/>
  </numFmts>
  <fonts count="7">
    <font>
      <sz val="10.0"/>
      <color rgb="FF000000"/>
      <name val="Arial"/>
      <scheme val="minor"/>
    </font>
    <font>
      <sz val="17.0"/>
      <color theme="1"/>
      <name val="Arial"/>
      <scheme val="minor"/>
    </font>
    <font/>
    <font>
      <color theme="1"/>
      <name val="Arial"/>
      <scheme val="minor"/>
    </font>
    <font>
      <sz val="9.0"/>
      <color theme="1"/>
      <name val="Arial"/>
      <scheme val="minor"/>
    </font>
    <font>
      <sz val="16.0"/>
      <color theme="1"/>
      <name val="Arial"/>
      <scheme val="minor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12" fillId="3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13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12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  <xf borderId="13" fillId="0" fontId="3" numFmtId="10" xfId="0" applyAlignment="1" applyBorder="1" applyFont="1" applyNumberFormat="1">
      <alignment readingOrder="0"/>
    </xf>
    <xf borderId="15" fillId="0" fontId="3" numFmtId="0" xfId="0" applyAlignment="1" applyBorder="1" applyFont="1">
      <alignment readingOrder="0"/>
    </xf>
    <xf borderId="15" fillId="0" fontId="3" numFmtId="10" xfId="0" applyAlignment="1" applyBorder="1" applyFont="1" applyNumberFormat="1">
      <alignment readingOrder="0"/>
    </xf>
    <xf borderId="14" fillId="0" fontId="3" numFmtId="0" xfId="0" applyAlignment="1" applyBorder="1" applyFont="1">
      <alignment readingOrder="0"/>
    </xf>
    <xf borderId="13" fillId="0" fontId="3" numFmtId="14" xfId="0" applyBorder="1" applyFont="1" applyNumberFormat="1"/>
    <xf borderId="15" fillId="0" fontId="3" numFmtId="3" xfId="0" applyBorder="1" applyFont="1" applyNumberFormat="1"/>
    <xf borderId="15" fillId="0" fontId="3" numFmtId="3" xfId="0" applyAlignment="1" applyBorder="1" applyFont="1" applyNumberFormat="1">
      <alignment readingOrder="0"/>
    </xf>
    <xf borderId="14" fillId="0" fontId="3" numFmtId="0" xfId="0" applyBorder="1" applyFont="1"/>
    <xf borderId="12" fillId="0" fontId="3" numFmtId="14" xfId="0" applyAlignment="1" applyBorder="1" applyFont="1" applyNumberFormat="1">
      <alignment readingOrder="0"/>
    </xf>
    <xf borderId="12" fillId="0" fontId="3" numFmtId="164" xfId="0" applyAlignment="1" applyBorder="1" applyFont="1" applyNumberFormat="1">
      <alignment readingOrder="0"/>
    </xf>
    <xf borderId="14" fillId="0" fontId="3" numFmtId="10" xfId="0" applyAlignment="1" applyBorder="1" applyFont="1" applyNumberFormat="1">
      <alignment readingOrder="0"/>
    </xf>
    <xf borderId="12" fillId="0" fontId="3" numFmtId="0" xfId="0" applyBorder="1" applyFont="1"/>
    <xf borderId="0" fillId="0" fontId="3" numFmtId="0" xfId="0" applyFont="1"/>
    <xf borderId="0" fillId="5" fontId="3" numFmtId="0" xfId="0" applyFill="1" applyFont="1"/>
    <xf borderId="0" fillId="4" fontId="3" numFmtId="0" xfId="0" applyFont="1"/>
    <xf borderId="1" fillId="0" fontId="3" numFmtId="0" xfId="0" applyAlignment="1" applyBorder="1" applyFont="1">
      <alignment readingOrder="0"/>
    </xf>
    <xf borderId="0" fillId="0" fontId="3" numFmtId="14" xfId="0" applyFont="1" applyNumberFormat="1"/>
    <xf borderId="7" fillId="0" fontId="3" numFmtId="0" xfId="0" applyAlignment="1" applyBorder="1" applyFont="1">
      <alignment readingOrder="0"/>
    </xf>
    <xf borderId="15" fillId="0" fontId="3" numFmtId="165" xfId="0" applyAlignment="1" applyBorder="1" applyFont="1" applyNumberFormat="1">
      <alignment readingOrder="0"/>
    </xf>
    <xf borderId="0" fillId="0" fontId="3" numFmtId="165" xfId="0" applyAlignment="1" applyFont="1" applyNumberFormat="1">
      <alignment readingOrder="0"/>
    </xf>
    <xf borderId="15" fillId="0" fontId="3" numFmtId="9" xfId="0" applyAlignment="1" applyBorder="1" applyFont="1" applyNumberFormat="1">
      <alignment readingOrder="0"/>
    </xf>
    <xf borderId="15" fillId="0" fontId="3" numFmtId="0" xfId="0" applyBorder="1" applyFont="1"/>
    <xf borderId="15" fillId="0" fontId="3" numFmtId="165" xfId="0" applyBorder="1" applyFont="1" applyNumberFormat="1"/>
    <xf borderId="0" fillId="0" fontId="3" numFmtId="165" xfId="0" applyFont="1" applyNumberFormat="1"/>
    <xf borderId="0" fillId="0" fontId="3" numFmtId="0" xfId="0" applyAlignment="1" applyFont="1">
      <alignment shrinkToFit="0" wrapText="0"/>
    </xf>
    <xf borderId="15" fillId="0" fontId="3" numFmtId="0" xfId="0" applyAlignment="1" applyBorder="1" applyFont="1">
      <alignment shrinkToFit="0" wrapText="0"/>
    </xf>
    <xf borderId="7" fillId="0" fontId="3" numFmtId="0" xfId="0" applyBorder="1" applyFont="1"/>
    <xf borderId="8" fillId="0" fontId="3" numFmtId="165" xfId="0" applyBorder="1" applyFont="1" applyNumberFormat="1"/>
    <xf borderId="5" fillId="0" fontId="3" numFmtId="0" xfId="0" applyBorder="1" applyFont="1"/>
    <xf borderId="0" fillId="0" fontId="3" numFmtId="166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167" xfId="0" applyAlignment="1" applyFont="1" applyNumberFormat="1">
      <alignment readingOrder="0"/>
    </xf>
    <xf borderId="0" fillId="0" fontId="3" numFmtId="9" xfId="0" applyFont="1" applyNumberFormat="1"/>
    <xf borderId="0" fillId="0" fontId="3" numFmtId="168" xfId="0" applyAlignment="1" applyFont="1" applyNumberFormat="1">
      <alignment readingOrder="0"/>
    </xf>
    <xf borderId="0" fillId="0" fontId="3" numFmtId="166" xfId="0" applyFont="1" applyNumberFormat="1"/>
    <xf borderId="0" fillId="0" fontId="3" numFmtId="3" xfId="0" applyFont="1" applyNumberFormat="1"/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7"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6.38"/>
  </cols>
  <sheetData>
    <row r="1">
      <c r="A1" s="1"/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6" t="s">
        <v>2</v>
      </c>
      <c r="D2" s="4" t="s">
        <v>3</v>
      </c>
      <c r="E2" s="5" t="s">
        <v>4</v>
      </c>
      <c r="F2" s="6" t="s">
        <v>5</v>
      </c>
      <c r="G2" s="4" t="s">
        <v>6</v>
      </c>
      <c r="H2" s="5" t="s">
        <v>7</v>
      </c>
      <c r="I2" s="6" t="s">
        <v>8</v>
      </c>
    </row>
    <row r="3">
      <c r="A3" s="7" t="s">
        <v>9</v>
      </c>
      <c r="B3" s="8" t="s">
        <v>10</v>
      </c>
      <c r="C3" s="9" t="s">
        <v>11</v>
      </c>
      <c r="D3" s="7" t="s">
        <v>12</v>
      </c>
      <c r="E3" s="8" t="s">
        <v>13</v>
      </c>
      <c r="F3" s="9" t="s">
        <v>14</v>
      </c>
      <c r="G3" s="7" t="s">
        <v>15</v>
      </c>
      <c r="H3" s="8" t="s">
        <v>16</v>
      </c>
      <c r="I3" s="9" t="s">
        <v>17</v>
      </c>
    </row>
    <row r="4">
      <c r="A4" s="10" t="s">
        <v>18</v>
      </c>
      <c r="B4" s="11" t="s">
        <v>19</v>
      </c>
      <c r="C4" s="12" t="s">
        <v>20</v>
      </c>
      <c r="D4" s="10" t="s">
        <v>21</v>
      </c>
      <c r="E4" s="11" t="s">
        <v>22</v>
      </c>
      <c r="F4" s="12" t="s">
        <v>23</v>
      </c>
      <c r="G4" s="10" t="s">
        <v>24</v>
      </c>
      <c r="H4" s="11" t="s">
        <v>25</v>
      </c>
      <c r="I4" s="12" t="s">
        <v>26</v>
      </c>
    </row>
    <row r="5">
      <c r="A5" s="4" t="s">
        <v>27</v>
      </c>
      <c r="B5" s="5" t="s">
        <v>28</v>
      </c>
      <c r="C5" s="6" t="s">
        <v>29</v>
      </c>
      <c r="D5" s="8" t="s">
        <v>10</v>
      </c>
      <c r="E5" s="8" t="s">
        <v>13</v>
      </c>
      <c r="F5" s="8" t="s">
        <v>30</v>
      </c>
      <c r="G5" s="4" t="s">
        <v>31</v>
      </c>
      <c r="H5" s="5" t="s">
        <v>32</v>
      </c>
      <c r="I5" s="6" t="s">
        <v>33</v>
      </c>
    </row>
    <row r="6">
      <c r="A6" s="7" t="s">
        <v>34</v>
      </c>
      <c r="B6" s="8" t="s">
        <v>35</v>
      </c>
      <c r="C6" s="9" t="s">
        <v>36</v>
      </c>
      <c r="D6" s="13" t="s">
        <v>35</v>
      </c>
      <c r="E6" s="14" t="s">
        <v>37</v>
      </c>
      <c r="F6" s="8" t="s">
        <v>38</v>
      </c>
      <c r="G6" s="7" t="s">
        <v>39</v>
      </c>
      <c r="H6" s="8" t="s">
        <v>38</v>
      </c>
      <c r="I6" s="9" t="s">
        <v>40</v>
      </c>
    </row>
    <row r="7">
      <c r="A7" s="10" t="s">
        <v>41</v>
      </c>
      <c r="B7" s="11" t="s">
        <v>42</v>
      </c>
      <c r="C7" s="12" t="s">
        <v>43</v>
      </c>
      <c r="D7" s="15" t="s">
        <v>44</v>
      </c>
      <c r="E7" s="8" t="s">
        <v>45</v>
      </c>
      <c r="F7" s="8" t="s">
        <v>46</v>
      </c>
      <c r="G7" s="10" t="s">
        <v>47</v>
      </c>
      <c r="H7" s="11" t="s">
        <v>48</v>
      </c>
      <c r="I7" s="12" t="s">
        <v>49</v>
      </c>
    </row>
    <row r="8">
      <c r="A8" s="4" t="s">
        <v>50</v>
      </c>
      <c r="B8" s="5" t="s">
        <v>51</v>
      </c>
      <c r="C8" s="6" t="s">
        <v>52</v>
      </c>
      <c r="D8" s="16" t="s">
        <v>53</v>
      </c>
      <c r="E8" s="5" t="s">
        <v>54</v>
      </c>
      <c r="F8" s="6" t="s">
        <v>55</v>
      </c>
      <c r="G8" s="4" t="s">
        <v>56</v>
      </c>
      <c r="H8" s="5" t="s">
        <v>57</v>
      </c>
      <c r="I8" s="6" t="s">
        <v>58</v>
      </c>
    </row>
    <row r="9">
      <c r="A9" s="7" t="s">
        <v>59</v>
      </c>
      <c r="B9" s="8" t="s">
        <v>60</v>
      </c>
      <c r="C9" s="9" t="s">
        <v>61</v>
      </c>
      <c r="D9" s="7" t="s">
        <v>62</v>
      </c>
      <c r="E9" s="8" t="s">
        <v>45</v>
      </c>
      <c r="F9" s="9" t="s">
        <v>63</v>
      </c>
      <c r="G9" s="7" t="s">
        <v>64</v>
      </c>
      <c r="H9" s="8" t="s">
        <v>46</v>
      </c>
      <c r="I9" s="9" t="s">
        <v>65</v>
      </c>
    </row>
    <row r="10">
      <c r="A10" s="10" t="s">
        <v>66</v>
      </c>
      <c r="B10" s="11" t="s">
        <v>67</v>
      </c>
      <c r="C10" s="12" t="s">
        <v>68</v>
      </c>
      <c r="D10" s="10" t="s">
        <v>69</v>
      </c>
      <c r="E10" s="11" t="s">
        <v>70</v>
      </c>
      <c r="F10" s="12" t="s">
        <v>71</v>
      </c>
      <c r="G10" s="10" t="s">
        <v>72</v>
      </c>
      <c r="H10" s="11" t="s">
        <v>73</v>
      </c>
      <c r="I10" s="12" t="s">
        <v>74</v>
      </c>
    </row>
  </sheetData>
  <mergeCells count="1">
    <mergeCell ref="A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15" width="9.5"/>
  </cols>
  <sheetData>
    <row r="1">
      <c r="A1" s="17" t="s">
        <v>75</v>
      </c>
      <c r="B1" s="18" t="s">
        <v>76</v>
      </c>
      <c r="D1" s="18" t="s">
        <v>77</v>
      </c>
      <c r="F1" s="18" t="s">
        <v>78</v>
      </c>
      <c r="H1" s="18" t="s">
        <v>79</v>
      </c>
      <c r="J1" s="18" t="s">
        <v>80</v>
      </c>
      <c r="L1" s="18" t="s">
        <v>81</v>
      </c>
      <c r="N1" s="18" t="s">
        <v>82</v>
      </c>
    </row>
    <row r="2" ht="11.25" customHeight="1">
      <c r="A2" s="19">
        <v>0.3958333333333333</v>
      </c>
      <c r="B2" s="20" t="s">
        <v>83</v>
      </c>
      <c r="C2" s="21"/>
      <c r="D2" s="20" t="s">
        <v>84</v>
      </c>
      <c r="E2" s="21"/>
      <c r="F2" s="20" t="s">
        <v>84</v>
      </c>
      <c r="G2" s="21"/>
      <c r="H2" s="20" t="s">
        <v>85</v>
      </c>
      <c r="I2" s="21"/>
      <c r="J2" s="20" t="s">
        <v>85</v>
      </c>
      <c r="K2" s="21"/>
      <c r="L2" s="22"/>
      <c r="M2" s="21"/>
      <c r="N2" s="22"/>
      <c r="O2" s="21"/>
    </row>
    <row r="3" ht="11.25" customHeight="1">
      <c r="A3" s="19">
        <v>0.4166666666666667</v>
      </c>
      <c r="B3" s="23"/>
      <c r="C3" s="21"/>
      <c r="D3" s="23"/>
      <c r="E3" s="21"/>
      <c r="F3" s="24"/>
      <c r="G3" s="21"/>
      <c r="H3" s="24"/>
      <c r="I3" s="21"/>
      <c r="J3" s="24"/>
      <c r="K3" s="21"/>
      <c r="L3" s="21"/>
      <c r="M3" s="21"/>
      <c r="N3" s="21"/>
      <c r="O3" s="21"/>
    </row>
    <row r="4" ht="11.25" customHeight="1">
      <c r="A4" s="19">
        <v>0.4375</v>
      </c>
      <c r="B4" s="21"/>
      <c r="C4" s="21"/>
      <c r="D4" s="20" t="s">
        <v>86</v>
      </c>
      <c r="E4" s="21"/>
      <c r="F4" s="24"/>
      <c r="G4" s="21"/>
      <c r="H4" s="24"/>
      <c r="I4" s="21"/>
      <c r="J4" s="24"/>
      <c r="K4" s="21"/>
      <c r="L4" s="21"/>
      <c r="M4" s="21"/>
      <c r="N4" s="22"/>
      <c r="O4" s="21"/>
    </row>
    <row r="5" ht="11.25" customHeight="1">
      <c r="A5" s="19">
        <v>0.4583333333333333</v>
      </c>
      <c r="B5" s="22"/>
      <c r="C5" s="21"/>
      <c r="D5" s="23"/>
      <c r="E5" s="21"/>
      <c r="F5" s="23"/>
      <c r="G5" s="21"/>
      <c r="H5" s="23"/>
      <c r="I5" s="21"/>
      <c r="J5" s="24"/>
      <c r="K5" s="21"/>
      <c r="L5" s="22"/>
      <c r="M5" s="21"/>
      <c r="N5" s="21"/>
      <c r="O5" s="21"/>
    </row>
    <row r="6" ht="11.25" customHeight="1">
      <c r="A6" s="19">
        <v>0.4791666666666667</v>
      </c>
      <c r="B6" s="22"/>
      <c r="C6" s="22"/>
      <c r="D6" s="20" t="s">
        <v>87</v>
      </c>
      <c r="E6" s="21"/>
      <c r="F6" s="20" t="s">
        <v>85</v>
      </c>
      <c r="G6" s="21"/>
      <c r="H6" s="20" t="s">
        <v>88</v>
      </c>
      <c r="I6" s="22"/>
      <c r="J6" s="23"/>
      <c r="K6" s="21"/>
      <c r="L6" s="20" t="s">
        <v>85</v>
      </c>
      <c r="M6" s="21"/>
      <c r="N6" s="20" t="s">
        <v>85</v>
      </c>
      <c r="O6" s="21"/>
    </row>
    <row r="7" ht="11.25" customHeight="1">
      <c r="A7" s="19">
        <v>0.5</v>
      </c>
      <c r="B7" s="22"/>
      <c r="C7" s="22"/>
      <c r="D7" s="24"/>
      <c r="E7" s="21"/>
      <c r="F7" s="24"/>
      <c r="G7" s="21"/>
      <c r="H7" s="24"/>
      <c r="I7" s="21"/>
      <c r="J7" s="20" t="s">
        <v>83</v>
      </c>
      <c r="K7" s="21"/>
      <c r="L7" s="24"/>
      <c r="M7" s="21"/>
      <c r="N7" s="24"/>
      <c r="O7" s="21"/>
    </row>
    <row r="8" ht="11.25" customHeight="1">
      <c r="A8" s="19">
        <v>0.5208333333333334</v>
      </c>
      <c r="B8" s="21"/>
      <c r="C8" s="21"/>
      <c r="D8" s="23"/>
      <c r="E8" s="20" t="s">
        <v>87</v>
      </c>
      <c r="F8" s="24"/>
      <c r="G8" s="21"/>
      <c r="H8" s="24"/>
      <c r="I8" s="21"/>
      <c r="J8" s="24"/>
      <c r="K8" s="21"/>
      <c r="L8" s="24"/>
      <c r="M8" s="21"/>
      <c r="N8" s="24"/>
      <c r="O8" s="21"/>
    </row>
    <row r="9" ht="11.25" customHeight="1">
      <c r="A9" s="19">
        <v>0.5416666666666666</v>
      </c>
      <c r="B9" s="21"/>
      <c r="C9" s="21"/>
      <c r="D9" s="22"/>
      <c r="E9" s="24"/>
      <c r="F9" s="24"/>
      <c r="G9" s="21"/>
      <c r="H9" s="23"/>
      <c r="I9" s="22"/>
      <c r="J9" s="24"/>
      <c r="K9" s="21"/>
      <c r="L9" s="24"/>
      <c r="M9" s="21"/>
      <c r="N9" s="24"/>
      <c r="O9" s="21"/>
    </row>
    <row r="10" ht="11.25" customHeight="1">
      <c r="A10" s="19">
        <v>0.5625</v>
      </c>
      <c r="B10" s="20" t="s">
        <v>89</v>
      </c>
      <c r="C10" s="21"/>
      <c r="D10" s="22"/>
      <c r="E10" s="23"/>
      <c r="F10" s="23"/>
      <c r="G10" s="21"/>
      <c r="H10" s="25" t="s">
        <v>85</v>
      </c>
      <c r="I10" s="21"/>
      <c r="J10" s="23"/>
      <c r="K10" s="21"/>
      <c r="L10" s="23"/>
      <c r="M10" s="21"/>
      <c r="N10" s="23"/>
      <c r="O10" s="21"/>
    </row>
    <row r="11" ht="11.25" customHeight="1">
      <c r="A11" s="19">
        <v>0.5833333333333334</v>
      </c>
      <c r="B11" s="23"/>
      <c r="C11" s="21"/>
      <c r="D11" s="22"/>
      <c r="E11" s="21"/>
      <c r="F11" s="21"/>
      <c r="G11" s="21"/>
      <c r="H11" s="22"/>
      <c r="I11" s="22"/>
      <c r="J11" s="21"/>
      <c r="K11" s="21"/>
      <c r="L11" s="21"/>
      <c r="M11" s="21"/>
      <c r="N11" s="21"/>
      <c r="O11" s="21"/>
    </row>
    <row r="12" ht="11.25" customHeight="1">
      <c r="A12" s="19">
        <v>0.6041666666666666</v>
      </c>
      <c r="B12" s="22"/>
      <c r="C12" s="21"/>
      <c r="D12" s="22"/>
      <c r="E12" s="21"/>
      <c r="F12" s="21"/>
      <c r="G12" s="22"/>
      <c r="H12" s="22"/>
      <c r="I12" s="22"/>
      <c r="J12" s="21"/>
      <c r="K12" s="21"/>
      <c r="L12" s="21"/>
      <c r="M12" s="21"/>
      <c r="N12" s="21"/>
      <c r="O12" s="21"/>
    </row>
    <row r="13" ht="11.25" customHeight="1">
      <c r="A13" s="19">
        <v>0.625</v>
      </c>
      <c r="B13" s="20" t="s">
        <v>90</v>
      </c>
      <c r="C13" s="22"/>
      <c r="D13" s="20" t="s">
        <v>91</v>
      </c>
      <c r="E13" s="21"/>
      <c r="F13" s="20" t="s">
        <v>91</v>
      </c>
      <c r="G13" s="22"/>
      <c r="H13" s="20" t="s">
        <v>92</v>
      </c>
      <c r="I13" s="22"/>
      <c r="J13" s="20" t="s">
        <v>93</v>
      </c>
      <c r="K13" s="20" t="s">
        <v>91</v>
      </c>
      <c r="L13" s="20" t="s">
        <v>85</v>
      </c>
      <c r="M13" s="21"/>
      <c r="N13" s="20" t="s">
        <v>85</v>
      </c>
      <c r="O13" s="21"/>
    </row>
    <row r="14" ht="11.25" customHeight="1">
      <c r="A14" s="19">
        <v>0.6458333333333334</v>
      </c>
      <c r="B14" s="24"/>
      <c r="C14" s="22"/>
      <c r="D14" s="23"/>
      <c r="E14" s="21"/>
      <c r="F14" s="24"/>
      <c r="G14" s="22"/>
      <c r="H14" s="24"/>
      <c r="I14" s="22"/>
      <c r="J14" s="24"/>
      <c r="K14" s="24"/>
      <c r="L14" s="24"/>
      <c r="M14" s="21"/>
      <c r="N14" s="24"/>
      <c r="O14" s="21"/>
    </row>
    <row r="15" ht="11.25" customHeight="1">
      <c r="A15" s="19">
        <v>0.6666666666666666</v>
      </c>
      <c r="B15" s="24"/>
      <c r="C15" s="22"/>
      <c r="D15" s="20" t="s">
        <v>90</v>
      </c>
      <c r="E15" s="21"/>
      <c r="F15" s="24"/>
      <c r="G15" s="22"/>
      <c r="H15" s="24"/>
      <c r="I15" s="22"/>
      <c r="J15" s="24"/>
      <c r="K15" s="24"/>
      <c r="L15" s="24"/>
      <c r="M15" s="21"/>
      <c r="N15" s="24"/>
      <c r="O15" s="21"/>
    </row>
    <row r="16" ht="11.25" customHeight="1">
      <c r="A16" s="19">
        <v>0.6875</v>
      </c>
      <c r="B16" s="23"/>
      <c r="C16" s="22"/>
      <c r="D16" s="23"/>
      <c r="E16" s="21"/>
      <c r="F16" s="23"/>
      <c r="G16" s="22"/>
      <c r="H16" s="23"/>
      <c r="I16" s="22"/>
      <c r="J16" s="23"/>
      <c r="K16" s="23"/>
      <c r="L16" s="24"/>
      <c r="M16" s="21"/>
      <c r="N16" s="24"/>
      <c r="O16" s="21"/>
    </row>
    <row r="17" ht="11.25" customHeight="1">
      <c r="A17" s="19">
        <v>0.7083333333333334</v>
      </c>
      <c r="B17" s="22"/>
      <c r="C17" s="21"/>
      <c r="D17" s="22"/>
      <c r="E17" s="21"/>
      <c r="F17" s="21"/>
      <c r="G17" s="21"/>
      <c r="H17" s="21"/>
      <c r="I17" s="21"/>
      <c r="J17" s="20" t="s">
        <v>85</v>
      </c>
      <c r="K17" s="21"/>
      <c r="L17" s="24"/>
      <c r="M17" s="21"/>
      <c r="N17" s="24"/>
      <c r="O17" s="21"/>
    </row>
    <row r="18" ht="11.25" customHeight="1">
      <c r="A18" s="19">
        <v>0.7291666666666666</v>
      </c>
      <c r="B18" s="20" t="s">
        <v>94</v>
      </c>
      <c r="C18" s="21"/>
      <c r="D18" s="22"/>
      <c r="E18" s="21"/>
      <c r="F18" s="20" t="s">
        <v>95</v>
      </c>
      <c r="G18" s="21"/>
      <c r="H18" s="20" t="s">
        <v>94</v>
      </c>
      <c r="I18" s="21"/>
      <c r="J18" s="24"/>
      <c r="K18" s="21"/>
      <c r="L18" s="24"/>
      <c r="M18" s="21"/>
      <c r="N18" s="24"/>
      <c r="O18" s="21"/>
    </row>
    <row r="19" ht="11.25" customHeight="1">
      <c r="A19" s="19">
        <v>0.75</v>
      </c>
      <c r="B19" s="23"/>
      <c r="C19" s="21"/>
      <c r="D19" s="22"/>
      <c r="E19" s="21"/>
      <c r="F19" s="24"/>
      <c r="G19" s="21"/>
      <c r="H19" s="24"/>
      <c r="I19" s="21"/>
      <c r="J19" s="24"/>
      <c r="K19" s="21"/>
      <c r="L19" s="24"/>
      <c r="M19" s="21"/>
      <c r="N19" s="24"/>
      <c r="O19" s="21"/>
    </row>
    <row r="20" ht="11.25" customHeight="1">
      <c r="A20" s="19">
        <v>0.7708333333333334</v>
      </c>
      <c r="B20" s="20" t="s">
        <v>96</v>
      </c>
      <c r="C20" s="22"/>
      <c r="D20" s="22"/>
      <c r="E20" s="21"/>
      <c r="F20" s="24"/>
      <c r="G20" s="21"/>
      <c r="H20" s="24"/>
      <c r="I20" s="21"/>
      <c r="J20" s="24"/>
      <c r="K20" s="21"/>
      <c r="L20" s="24"/>
      <c r="M20" s="21"/>
      <c r="N20" s="24"/>
      <c r="O20" s="21"/>
    </row>
    <row r="21" ht="11.25" customHeight="1">
      <c r="A21" s="19">
        <v>0.7916666666666666</v>
      </c>
      <c r="B21" s="23"/>
      <c r="C21" s="22"/>
      <c r="D21" s="22"/>
      <c r="E21" s="21"/>
      <c r="F21" s="23"/>
      <c r="G21" s="21"/>
      <c r="H21" s="23"/>
      <c r="I21" s="21"/>
      <c r="J21" s="24"/>
      <c r="K21" s="21"/>
      <c r="L21" s="24"/>
      <c r="M21" s="21"/>
      <c r="N21" s="24"/>
      <c r="O21" s="21"/>
    </row>
    <row r="22" ht="11.25" customHeight="1">
      <c r="A22" s="19">
        <v>0.8125</v>
      </c>
      <c r="B22" s="22"/>
      <c r="C22" s="22"/>
      <c r="D22" s="22"/>
      <c r="E22" s="21"/>
      <c r="F22" s="20" t="s">
        <v>85</v>
      </c>
      <c r="G22" s="21"/>
      <c r="H22" s="20" t="s">
        <v>85</v>
      </c>
      <c r="I22" s="21"/>
      <c r="J22" s="24"/>
      <c r="K22" s="21"/>
      <c r="L22" s="24"/>
      <c r="M22" s="21"/>
      <c r="N22" s="24"/>
      <c r="O22" s="21"/>
    </row>
    <row r="23" ht="11.25" customHeight="1">
      <c r="A23" s="19">
        <v>0.8333333333333334</v>
      </c>
      <c r="B23" s="20" t="s">
        <v>97</v>
      </c>
      <c r="C23" s="22"/>
      <c r="D23" s="20" t="s">
        <v>85</v>
      </c>
      <c r="E23" s="21"/>
      <c r="F23" s="24"/>
      <c r="G23" s="21"/>
      <c r="H23" s="24"/>
      <c r="I23" s="21"/>
      <c r="J23" s="24"/>
      <c r="K23" s="21"/>
      <c r="L23" s="24"/>
      <c r="M23" s="21"/>
      <c r="N23" s="24"/>
      <c r="O23" s="21"/>
    </row>
    <row r="24" ht="11.25" customHeight="1">
      <c r="A24" s="19">
        <v>0.8541666666666666</v>
      </c>
      <c r="B24" s="24"/>
      <c r="C24" s="22"/>
      <c r="D24" s="24"/>
      <c r="E24" s="21"/>
      <c r="F24" s="24"/>
      <c r="G24" s="21"/>
      <c r="H24" s="24"/>
      <c r="I24" s="21"/>
      <c r="J24" s="24"/>
      <c r="K24" s="21"/>
      <c r="L24" s="24"/>
      <c r="M24" s="21"/>
      <c r="N24" s="24"/>
      <c r="O24" s="21"/>
    </row>
    <row r="25" ht="11.25" customHeight="1">
      <c r="A25" s="19">
        <v>0.875</v>
      </c>
      <c r="B25" s="23"/>
      <c r="C25" s="22"/>
      <c r="D25" s="23"/>
      <c r="E25" s="22"/>
      <c r="F25" s="23"/>
      <c r="G25" s="21"/>
      <c r="H25" s="23"/>
      <c r="I25" s="21"/>
      <c r="J25" s="23"/>
      <c r="K25" s="21"/>
      <c r="L25" s="23"/>
      <c r="M25" s="21"/>
      <c r="N25" s="23"/>
      <c r="O25" s="21"/>
    </row>
    <row r="26" ht="11.25" customHeight="1">
      <c r="A26" s="19">
        <v>0.9166666666666666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 ht="11.25" customHeight="1">
      <c r="A27" s="19">
        <v>0.9583333333333334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ht="11.25" customHeight="1">
      <c r="A28" s="19">
        <v>1.0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ht="11.25" customHeight="1">
      <c r="A29" s="19">
        <v>0.04166666666666663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 ht="11.25" customHeight="1">
      <c r="A30" s="19">
        <v>0.08333333333333326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</row>
    <row r="31" ht="11.25" customHeight="1">
      <c r="A31" s="19">
        <v>0.125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2" ht="11.25" customHeight="1">
      <c r="A32" s="19">
        <v>0.16666666666666652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ht="11.25" customHeight="1">
      <c r="A33" s="19">
        <v>0.20833333333333304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ht="11.25" customHeight="1">
      <c r="A34" s="19">
        <v>0.25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ht="11.25" customHeight="1">
      <c r="A35" s="19">
        <v>0.29166666666666696</v>
      </c>
      <c r="B35" s="21"/>
      <c r="C35" s="21"/>
      <c r="D35" s="22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ht="11.25" customHeight="1">
      <c r="A36" s="19">
        <v>0.33333333333333304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ht="11.25" customHeight="1">
      <c r="A37" s="19">
        <v>0.375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</sheetData>
  <mergeCells count="39">
    <mergeCell ref="B1:C1"/>
    <mergeCell ref="D1:E1"/>
    <mergeCell ref="F1:G1"/>
    <mergeCell ref="H1:I1"/>
    <mergeCell ref="J1:K1"/>
    <mergeCell ref="L1:M1"/>
    <mergeCell ref="N1:O1"/>
    <mergeCell ref="H2:H5"/>
    <mergeCell ref="H6:H9"/>
    <mergeCell ref="H13:H16"/>
    <mergeCell ref="J13:J16"/>
    <mergeCell ref="K13:K16"/>
    <mergeCell ref="J17:J25"/>
    <mergeCell ref="H18:H21"/>
    <mergeCell ref="H22:H25"/>
    <mergeCell ref="L6:L10"/>
    <mergeCell ref="N6:N10"/>
    <mergeCell ref="L13:L25"/>
    <mergeCell ref="N13:N25"/>
    <mergeCell ref="F6:F10"/>
    <mergeCell ref="E8:E10"/>
    <mergeCell ref="F13:F16"/>
    <mergeCell ref="F18:F21"/>
    <mergeCell ref="F22:F25"/>
    <mergeCell ref="B10:B11"/>
    <mergeCell ref="B13:B16"/>
    <mergeCell ref="D13:D14"/>
    <mergeCell ref="D15:D16"/>
    <mergeCell ref="B18:B19"/>
    <mergeCell ref="B20:B21"/>
    <mergeCell ref="B23:B25"/>
    <mergeCell ref="D23:D25"/>
    <mergeCell ref="B2:B3"/>
    <mergeCell ref="D2:D3"/>
    <mergeCell ref="F2:F5"/>
    <mergeCell ref="J2:J6"/>
    <mergeCell ref="D4:D5"/>
    <mergeCell ref="D6:D8"/>
    <mergeCell ref="J7:J10"/>
  </mergeCells>
  <conditionalFormatting sqref="B1:O37">
    <cfRule type="containsText" dxfId="0" priority="1" operator="containsText" text="Clases">
      <formula>NOT(ISERROR(SEARCH(("Clases"),(B1))))</formula>
    </cfRule>
  </conditionalFormatting>
  <conditionalFormatting sqref="B1:O37">
    <cfRule type="containsText" dxfId="1" priority="2" operator="containsText" text="[General]">
      <formula>NOT(ISERROR(SEARCH(("[General]"),(B1))))</formula>
    </cfRule>
  </conditionalFormatting>
  <conditionalFormatting sqref="B1:O37">
    <cfRule type="containsText" dxfId="2" priority="3" operator="containsText" text="[Laboratorios]">
      <formula>NOT(ISERROR(SEARCH(("[Laboratorios]"),(B1))))</formula>
    </cfRule>
  </conditionalFormatting>
  <conditionalFormatting sqref="B1:O37">
    <cfRule type="containsText" dxfId="3" priority="4" operator="containsText" text="[Examenes]">
      <formula>NOT(ISERROR(SEARCH(("[Examenes]"),(B1))))</formula>
    </cfRule>
  </conditionalFormatting>
  <conditionalFormatting sqref="B2:O37">
    <cfRule type="containsText" dxfId="4" priority="5" operator="containsText" text="[Proyectos]">
      <formula>NOT(ISERROR(SEARCH(("[Proyectos]"),(B2))))</formula>
    </cfRule>
  </conditionalFormatting>
  <conditionalFormatting sqref="B1:O37">
    <cfRule type="containsText" dxfId="5" priority="6" operator="containsText" text="[Tareas]">
      <formula>NOT(ISERROR(SEARCH(("[Tareas]"),(B1))))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9.38"/>
    <col customWidth="1" min="3" max="3" width="7.38"/>
    <col customWidth="1" min="4" max="4" width="7.63"/>
    <col customWidth="1" min="5" max="5" width="12.13"/>
    <col customWidth="1" min="6" max="6" width="9.38"/>
    <col customWidth="1" min="7" max="7" width="7.38"/>
    <col customWidth="1" min="8" max="8" width="7.63"/>
    <col customWidth="1" min="9" max="9" width="12.13"/>
    <col customWidth="1" min="10" max="10" width="9.38"/>
    <col customWidth="1" min="11" max="11" width="7.38"/>
    <col customWidth="1" min="12" max="12" width="7.63"/>
    <col customWidth="1" min="13" max="13" width="12.13"/>
    <col customWidth="1" min="14" max="14" width="9.38"/>
    <col customWidth="1" min="15" max="15" width="7.38"/>
    <col customWidth="1" min="16" max="16" width="7.63"/>
    <col customWidth="1" min="17" max="17" width="12.13"/>
    <col customWidth="1" min="18" max="18" width="9.38"/>
    <col customWidth="1" min="19" max="19" width="7.38"/>
    <col customWidth="1" min="20" max="20" width="7.63"/>
    <col customWidth="1" min="21" max="21" width="12.13"/>
    <col customWidth="1" min="22" max="22" width="9.38"/>
    <col customWidth="1" min="23" max="23" width="7.38"/>
    <col customWidth="1" min="24" max="24" width="7.63"/>
  </cols>
  <sheetData>
    <row r="1">
      <c r="A1" s="26" t="s">
        <v>98</v>
      </c>
    </row>
    <row r="2">
      <c r="A2" s="27" t="s">
        <v>99</v>
      </c>
      <c r="B2" s="2"/>
      <c r="C2" s="2"/>
      <c r="D2" s="3"/>
      <c r="E2" s="27" t="s">
        <v>100</v>
      </c>
      <c r="F2" s="2"/>
      <c r="G2" s="2"/>
      <c r="H2" s="3"/>
      <c r="I2" s="27" t="s">
        <v>101</v>
      </c>
      <c r="J2" s="2"/>
      <c r="K2" s="2"/>
      <c r="L2" s="3"/>
      <c r="M2" s="27" t="s">
        <v>102</v>
      </c>
      <c r="N2" s="2"/>
      <c r="O2" s="2"/>
      <c r="P2" s="3"/>
      <c r="Q2" s="27" t="s">
        <v>103</v>
      </c>
      <c r="R2" s="2"/>
      <c r="S2" s="2"/>
      <c r="T2" s="3"/>
      <c r="U2" s="27" t="s">
        <v>104</v>
      </c>
      <c r="V2" s="2"/>
      <c r="W2" s="2"/>
      <c r="X2" s="3"/>
    </row>
    <row r="3">
      <c r="A3" s="27" t="s">
        <v>105</v>
      </c>
      <c r="B3" s="3"/>
      <c r="C3" s="27" t="s">
        <v>106</v>
      </c>
      <c r="D3" s="3"/>
      <c r="E3" s="27" t="s">
        <v>105</v>
      </c>
      <c r="F3" s="3"/>
      <c r="G3" s="27" t="s">
        <v>106</v>
      </c>
      <c r="H3" s="3"/>
      <c r="I3" s="27" t="s">
        <v>105</v>
      </c>
      <c r="J3" s="3"/>
      <c r="K3" s="27" t="s">
        <v>106</v>
      </c>
      <c r="L3" s="3"/>
      <c r="M3" s="27" t="s">
        <v>105</v>
      </c>
      <c r="N3" s="3"/>
      <c r="O3" s="27" t="s">
        <v>106</v>
      </c>
      <c r="P3" s="3"/>
      <c r="Q3" s="27" t="s">
        <v>105</v>
      </c>
      <c r="R3" s="3"/>
      <c r="S3" s="27" t="s">
        <v>106</v>
      </c>
      <c r="T3" s="3"/>
      <c r="U3" s="27" t="s">
        <v>105</v>
      </c>
      <c r="V3" s="3"/>
      <c r="W3" s="27" t="s">
        <v>106</v>
      </c>
      <c r="X3" s="3"/>
    </row>
    <row r="4">
      <c r="A4" s="28" t="s">
        <v>107</v>
      </c>
      <c r="B4" s="29">
        <v>0.0</v>
      </c>
      <c r="C4" s="28" t="s">
        <v>108</v>
      </c>
      <c r="D4" s="30">
        <v>1.0</v>
      </c>
      <c r="E4" s="28" t="s">
        <v>107</v>
      </c>
      <c r="F4" s="29">
        <v>0.0</v>
      </c>
      <c r="G4" s="28" t="s">
        <v>108</v>
      </c>
      <c r="H4" s="30">
        <v>1.0</v>
      </c>
      <c r="I4" s="28" t="s">
        <v>107</v>
      </c>
      <c r="J4" s="29">
        <v>0.0</v>
      </c>
      <c r="K4" s="28" t="s">
        <v>108</v>
      </c>
      <c r="L4" s="30">
        <v>1.0</v>
      </c>
      <c r="M4" s="28" t="s">
        <v>107</v>
      </c>
      <c r="N4" s="29">
        <v>0.0</v>
      </c>
      <c r="O4" s="28" t="s">
        <v>108</v>
      </c>
      <c r="P4" s="30">
        <v>1.0</v>
      </c>
      <c r="Q4" s="28" t="s">
        <v>107</v>
      </c>
      <c r="R4" s="29">
        <v>0.0</v>
      </c>
      <c r="S4" s="28" t="s">
        <v>108</v>
      </c>
      <c r="T4" s="30">
        <v>1.0</v>
      </c>
      <c r="U4" s="28" t="s">
        <v>107</v>
      </c>
      <c r="V4" s="29">
        <v>0.0</v>
      </c>
      <c r="W4" s="28" t="s">
        <v>108</v>
      </c>
      <c r="X4" s="30">
        <v>1.0</v>
      </c>
    </row>
    <row r="5">
      <c r="A5" s="28" t="s">
        <v>109</v>
      </c>
      <c r="B5" s="31">
        <v>0.0</v>
      </c>
      <c r="C5" s="28" t="s">
        <v>110</v>
      </c>
      <c r="D5" s="32">
        <v>0.0</v>
      </c>
      <c r="E5" s="28" t="s">
        <v>109</v>
      </c>
      <c r="F5" s="31">
        <v>0.0</v>
      </c>
      <c r="G5" s="28" t="s">
        <v>110</v>
      </c>
      <c r="H5" s="32">
        <v>0.0</v>
      </c>
      <c r="I5" s="28" t="s">
        <v>109</v>
      </c>
      <c r="J5" s="31">
        <v>0.0</v>
      </c>
      <c r="K5" s="28" t="s">
        <v>110</v>
      </c>
      <c r="L5" s="32">
        <v>0.0</v>
      </c>
      <c r="M5" s="28" t="s">
        <v>109</v>
      </c>
      <c r="N5" s="31">
        <v>0.0</v>
      </c>
      <c r="O5" s="28" t="s">
        <v>110</v>
      </c>
      <c r="P5" s="32">
        <v>0.0</v>
      </c>
      <c r="Q5" s="28" t="s">
        <v>109</v>
      </c>
      <c r="R5" s="31">
        <v>0.0</v>
      </c>
      <c r="S5" s="28" t="s">
        <v>110</v>
      </c>
      <c r="T5" s="32">
        <v>0.0</v>
      </c>
      <c r="U5" s="28" t="s">
        <v>109</v>
      </c>
      <c r="V5" s="31">
        <v>0.0</v>
      </c>
      <c r="W5" s="28" t="s">
        <v>110</v>
      </c>
      <c r="X5" s="32">
        <v>0.0</v>
      </c>
    </row>
    <row r="6">
      <c r="A6" s="28" t="s">
        <v>111</v>
      </c>
      <c r="B6" s="31">
        <v>0.0</v>
      </c>
      <c r="C6" s="28" t="s">
        <v>112</v>
      </c>
      <c r="D6" s="32">
        <v>0.0</v>
      </c>
      <c r="E6" s="28" t="s">
        <v>111</v>
      </c>
      <c r="F6" s="31">
        <v>0.0</v>
      </c>
      <c r="G6" s="28" t="s">
        <v>112</v>
      </c>
      <c r="H6" s="32">
        <v>0.0</v>
      </c>
      <c r="I6" s="28" t="s">
        <v>111</v>
      </c>
      <c r="J6" s="31">
        <v>0.0</v>
      </c>
      <c r="K6" s="28" t="s">
        <v>112</v>
      </c>
      <c r="L6" s="32">
        <v>0.0</v>
      </c>
      <c r="M6" s="28" t="s">
        <v>111</v>
      </c>
      <c r="N6" s="31">
        <v>0.0</v>
      </c>
      <c r="O6" s="28" t="s">
        <v>112</v>
      </c>
      <c r="P6" s="32">
        <v>0.0</v>
      </c>
      <c r="Q6" s="28" t="s">
        <v>111</v>
      </c>
      <c r="R6" s="31">
        <v>0.0</v>
      </c>
      <c r="S6" s="28" t="s">
        <v>112</v>
      </c>
      <c r="T6" s="32">
        <v>0.0</v>
      </c>
      <c r="U6" s="28" t="s">
        <v>111</v>
      </c>
      <c r="V6" s="31">
        <v>0.0</v>
      </c>
      <c r="W6" s="28" t="s">
        <v>112</v>
      </c>
      <c r="X6" s="32">
        <v>0.0</v>
      </c>
    </row>
    <row r="7">
      <c r="A7" s="28" t="s">
        <v>113</v>
      </c>
      <c r="B7" s="33">
        <v>0.0</v>
      </c>
      <c r="C7" s="28" t="s">
        <v>114</v>
      </c>
      <c r="D7" s="32">
        <v>0.0</v>
      </c>
      <c r="E7" s="28" t="s">
        <v>113</v>
      </c>
      <c r="F7" s="33">
        <v>0.0</v>
      </c>
      <c r="G7" s="28" t="s">
        <v>114</v>
      </c>
      <c r="H7" s="32">
        <v>0.0</v>
      </c>
      <c r="I7" s="28" t="s">
        <v>113</v>
      </c>
      <c r="J7" s="33">
        <v>0.0</v>
      </c>
      <c r="K7" s="28" t="s">
        <v>114</v>
      </c>
      <c r="L7" s="32">
        <v>0.0</v>
      </c>
      <c r="M7" s="28" t="s">
        <v>113</v>
      </c>
      <c r="N7" s="33">
        <v>0.0</v>
      </c>
      <c r="O7" s="28" t="s">
        <v>114</v>
      </c>
      <c r="P7" s="32">
        <v>0.0</v>
      </c>
      <c r="Q7" s="28" t="s">
        <v>113</v>
      </c>
      <c r="R7" s="33">
        <v>0.0</v>
      </c>
      <c r="S7" s="28" t="s">
        <v>114</v>
      </c>
      <c r="T7" s="32">
        <v>0.0</v>
      </c>
      <c r="U7" s="28" t="s">
        <v>113</v>
      </c>
      <c r="V7" s="33">
        <v>0.0</v>
      </c>
      <c r="W7" s="28" t="s">
        <v>114</v>
      </c>
      <c r="X7" s="32">
        <v>0.0</v>
      </c>
    </row>
    <row r="8">
      <c r="A8" s="27" t="s">
        <v>115</v>
      </c>
      <c r="B8" s="3"/>
      <c r="C8" s="28" t="s">
        <v>116</v>
      </c>
      <c r="D8" s="32">
        <v>0.0</v>
      </c>
      <c r="E8" s="27" t="s">
        <v>115</v>
      </c>
      <c r="F8" s="3"/>
      <c r="G8" s="28" t="s">
        <v>116</v>
      </c>
      <c r="H8" s="32">
        <v>0.0</v>
      </c>
      <c r="I8" s="27" t="s">
        <v>115</v>
      </c>
      <c r="J8" s="3"/>
      <c r="K8" s="28" t="s">
        <v>116</v>
      </c>
      <c r="L8" s="32">
        <v>0.0</v>
      </c>
      <c r="M8" s="27" t="s">
        <v>115</v>
      </c>
      <c r="N8" s="3"/>
      <c r="O8" s="28" t="s">
        <v>116</v>
      </c>
      <c r="P8" s="32">
        <v>0.0</v>
      </c>
      <c r="Q8" s="27" t="s">
        <v>115</v>
      </c>
      <c r="R8" s="3"/>
      <c r="S8" s="28" t="s">
        <v>116</v>
      </c>
      <c r="T8" s="32">
        <v>0.0</v>
      </c>
      <c r="U8" s="27" t="s">
        <v>115</v>
      </c>
      <c r="V8" s="3"/>
      <c r="W8" s="28" t="s">
        <v>116</v>
      </c>
      <c r="X8" s="32">
        <v>0.0</v>
      </c>
    </row>
    <row r="9">
      <c r="A9" s="28" t="s">
        <v>117</v>
      </c>
      <c r="B9" s="34">
        <f>TODAY()+7</f>
        <v>46005</v>
      </c>
      <c r="C9" s="28" t="s">
        <v>118</v>
      </c>
      <c r="D9" s="32">
        <v>0.0</v>
      </c>
      <c r="E9" s="28" t="s">
        <v>117</v>
      </c>
      <c r="F9" s="34">
        <f>TODAY()+7</f>
        <v>46005</v>
      </c>
      <c r="G9" s="28" t="s">
        <v>118</v>
      </c>
      <c r="H9" s="32">
        <v>0.0</v>
      </c>
      <c r="I9" s="28" t="s">
        <v>117</v>
      </c>
      <c r="J9" s="34">
        <f>TODAY()+7</f>
        <v>46005</v>
      </c>
      <c r="K9" s="28" t="s">
        <v>118</v>
      </c>
      <c r="L9" s="32">
        <v>0.0</v>
      </c>
      <c r="M9" s="28" t="s">
        <v>117</v>
      </c>
      <c r="N9" s="34">
        <f>TODAY()+7</f>
        <v>46005</v>
      </c>
      <c r="O9" s="28" t="s">
        <v>118</v>
      </c>
      <c r="P9" s="32">
        <v>0.0</v>
      </c>
      <c r="Q9" s="28" t="s">
        <v>117</v>
      </c>
      <c r="R9" s="29">
        <v>0.0</v>
      </c>
      <c r="S9" s="28" t="s">
        <v>118</v>
      </c>
      <c r="T9" s="32">
        <v>0.0</v>
      </c>
      <c r="U9" s="28" t="s">
        <v>117</v>
      </c>
      <c r="V9" s="34">
        <f>TODAY()+7</f>
        <v>46005</v>
      </c>
      <c r="W9" s="28" t="s">
        <v>118</v>
      </c>
      <c r="X9" s="32">
        <v>0.0</v>
      </c>
    </row>
    <row r="10">
      <c r="A10" s="28" t="s">
        <v>119</v>
      </c>
      <c r="B10" s="35">
        <f>B9-TODAY()</f>
        <v>7</v>
      </c>
      <c r="C10" s="28" t="s">
        <v>120</v>
      </c>
      <c r="D10" s="32">
        <v>0.0</v>
      </c>
      <c r="E10" s="28" t="s">
        <v>119</v>
      </c>
      <c r="F10" s="35">
        <f>F9-TODAY()</f>
        <v>7</v>
      </c>
      <c r="G10" s="28" t="s">
        <v>120</v>
      </c>
      <c r="H10" s="32">
        <v>0.0</v>
      </c>
      <c r="I10" s="28" t="s">
        <v>119</v>
      </c>
      <c r="J10" s="35">
        <f>J9-TODAY()</f>
        <v>7</v>
      </c>
      <c r="K10" s="28" t="s">
        <v>120</v>
      </c>
      <c r="L10" s="32">
        <v>0.0</v>
      </c>
      <c r="M10" s="28" t="s">
        <v>119</v>
      </c>
      <c r="N10" s="35">
        <f>N9-TODAY()</f>
        <v>7</v>
      </c>
      <c r="O10" s="28" t="s">
        <v>120</v>
      </c>
      <c r="P10" s="32">
        <v>0.0</v>
      </c>
      <c r="Q10" s="17" t="s">
        <v>121</v>
      </c>
      <c r="R10" s="17">
        <v>0.0</v>
      </c>
      <c r="S10" s="28" t="s">
        <v>120</v>
      </c>
      <c r="T10" s="32">
        <v>0.0</v>
      </c>
      <c r="U10" s="28" t="s">
        <v>119</v>
      </c>
      <c r="V10" s="35">
        <f>V9-TODAY()</f>
        <v>7</v>
      </c>
      <c r="W10" s="28" t="s">
        <v>120</v>
      </c>
      <c r="X10" s="32">
        <v>0.0</v>
      </c>
    </row>
    <row r="11">
      <c r="A11" s="17" t="s">
        <v>122</v>
      </c>
      <c r="B11" s="34">
        <f>TODAY()+8</f>
        <v>46006</v>
      </c>
      <c r="C11" s="28" t="s">
        <v>123</v>
      </c>
      <c r="D11" s="32">
        <v>0.0</v>
      </c>
      <c r="E11" s="17" t="s">
        <v>122</v>
      </c>
      <c r="F11" s="34">
        <f>TODAY()+8</f>
        <v>46006</v>
      </c>
      <c r="G11" s="28" t="s">
        <v>123</v>
      </c>
      <c r="H11" s="32">
        <v>0.0</v>
      </c>
      <c r="I11" s="17" t="s">
        <v>122</v>
      </c>
      <c r="J11" s="34">
        <f>TODAY()+8</f>
        <v>46006</v>
      </c>
      <c r="K11" s="28" t="s">
        <v>123</v>
      </c>
      <c r="L11" s="32">
        <v>0.0</v>
      </c>
      <c r="M11" s="17" t="s">
        <v>122</v>
      </c>
      <c r="N11" s="34">
        <f>TODAY()+8</f>
        <v>46006</v>
      </c>
      <c r="O11" s="28" t="s">
        <v>123</v>
      </c>
      <c r="P11" s="32">
        <v>0.0</v>
      </c>
      <c r="Q11" s="28" t="s">
        <v>119</v>
      </c>
      <c r="R11" s="36">
        <v>0.0</v>
      </c>
      <c r="S11" s="28" t="s">
        <v>123</v>
      </c>
      <c r="T11" s="32">
        <v>0.0</v>
      </c>
      <c r="U11" s="17" t="s">
        <v>122</v>
      </c>
      <c r="V11" s="34">
        <f>TODAY()+8</f>
        <v>46006</v>
      </c>
      <c r="W11" s="28" t="s">
        <v>123</v>
      </c>
      <c r="X11" s="32">
        <v>0.0</v>
      </c>
    </row>
    <row r="12">
      <c r="A12" s="17" t="s">
        <v>124</v>
      </c>
      <c r="B12" s="35">
        <f>B11-TODAY()</f>
        <v>8</v>
      </c>
      <c r="C12" s="28" t="s">
        <v>125</v>
      </c>
      <c r="D12" s="32">
        <v>0.0</v>
      </c>
      <c r="E12" s="17" t="s">
        <v>124</v>
      </c>
      <c r="F12" s="35">
        <f>F11-TODAY()</f>
        <v>8</v>
      </c>
      <c r="G12" s="28" t="s">
        <v>125</v>
      </c>
      <c r="H12" s="32">
        <v>0.0</v>
      </c>
      <c r="I12" s="17" t="s">
        <v>124</v>
      </c>
      <c r="J12" s="35">
        <f>J11-TODAY()</f>
        <v>8</v>
      </c>
      <c r="K12" s="28" t="s">
        <v>125</v>
      </c>
      <c r="L12" s="32">
        <v>0.0</v>
      </c>
      <c r="M12" s="17" t="s">
        <v>124</v>
      </c>
      <c r="N12" s="35">
        <f>N11-TODAY()</f>
        <v>8</v>
      </c>
      <c r="O12" s="28" t="s">
        <v>125</v>
      </c>
      <c r="P12" s="32">
        <v>0.0</v>
      </c>
      <c r="Q12" s="17" t="s">
        <v>122</v>
      </c>
      <c r="R12" s="34">
        <f>TODAY()+8</f>
        <v>46006</v>
      </c>
      <c r="S12" s="28" t="s">
        <v>125</v>
      </c>
      <c r="T12" s="32">
        <v>0.0</v>
      </c>
      <c r="U12" s="17" t="s">
        <v>124</v>
      </c>
      <c r="V12" s="35">
        <f>V11-TODAY()</f>
        <v>8</v>
      </c>
      <c r="W12" s="28" t="s">
        <v>125</v>
      </c>
      <c r="X12" s="32">
        <v>0.0</v>
      </c>
    </row>
    <row r="13">
      <c r="A13" s="28" t="s">
        <v>126</v>
      </c>
      <c r="B13" s="34">
        <f>today() + 11</f>
        <v>46009</v>
      </c>
      <c r="C13" s="28" t="s">
        <v>127</v>
      </c>
      <c r="D13" s="32">
        <v>0.0</v>
      </c>
      <c r="E13" s="28" t="s">
        <v>126</v>
      </c>
      <c r="F13" s="34">
        <f>today() + 11</f>
        <v>46009</v>
      </c>
      <c r="G13" s="28" t="s">
        <v>127</v>
      </c>
      <c r="H13" s="32">
        <v>0.0</v>
      </c>
      <c r="I13" s="28" t="s">
        <v>126</v>
      </c>
      <c r="J13" s="34">
        <f>today() + 11</f>
        <v>46009</v>
      </c>
      <c r="K13" s="28" t="s">
        <v>127</v>
      </c>
      <c r="L13" s="32">
        <v>0.0</v>
      </c>
      <c r="M13" s="28" t="s">
        <v>126</v>
      </c>
      <c r="N13" s="34">
        <f>today() + 11</f>
        <v>46009</v>
      </c>
      <c r="O13" s="28" t="s">
        <v>127</v>
      </c>
      <c r="P13" s="32">
        <v>0.0</v>
      </c>
      <c r="Q13" s="17" t="s">
        <v>124</v>
      </c>
      <c r="R13" s="35">
        <f>R12-TODAY()</f>
        <v>8</v>
      </c>
      <c r="S13" s="28" t="s">
        <v>127</v>
      </c>
      <c r="T13" s="32">
        <v>0.0</v>
      </c>
      <c r="U13" s="28" t="s">
        <v>126</v>
      </c>
      <c r="V13" s="34">
        <f>today() + 11</f>
        <v>46009</v>
      </c>
      <c r="W13" s="28" t="s">
        <v>127</v>
      </c>
      <c r="X13" s="32">
        <v>0.0</v>
      </c>
    </row>
    <row r="14">
      <c r="A14" s="28" t="s">
        <v>128</v>
      </c>
      <c r="B14" s="37">
        <f>B13-TODAY()</f>
        <v>11</v>
      </c>
      <c r="C14" s="28" t="s">
        <v>129</v>
      </c>
      <c r="D14" s="32">
        <v>0.0</v>
      </c>
      <c r="E14" s="28" t="s">
        <v>128</v>
      </c>
      <c r="F14" s="37">
        <f>F13-TODAY()</f>
        <v>11</v>
      </c>
      <c r="G14" s="28" t="s">
        <v>129</v>
      </c>
      <c r="H14" s="32">
        <v>0.0</v>
      </c>
      <c r="I14" s="28" t="s">
        <v>128</v>
      </c>
      <c r="J14" s="37">
        <f>J13-TODAY()</f>
        <v>11</v>
      </c>
      <c r="K14" s="28" t="s">
        <v>129</v>
      </c>
      <c r="L14" s="32">
        <v>0.0</v>
      </c>
      <c r="M14" s="28" t="s">
        <v>128</v>
      </c>
      <c r="N14" s="37">
        <f>N13-TODAY()</f>
        <v>11</v>
      </c>
      <c r="O14" s="28" t="s">
        <v>129</v>
      </c>
      <c r="P14" s="32">
        <v>0.0</v>
      </c>
      <c r="Q14" s="28" t="s">
        <v>126</v>
      </c>
      <c r="R14" s="38">
        <v>45995.0</v>
      </c>
      <c r="S14" s="28" t="s">
        <v>129</v>
      </c>
      <c r="T14" s="32">
        <v>0.0</v>
      </c>
      <c r="U14" s="28" t="s">
        <v>128</v>
      </c>
      <c r="V14" s="37">
        <f>V13-TODAY()</f>
        <v>11</v>
      </c>
      <c r="W14" s="28" t="s">
        <v>129</v>
      </c>
      <c r="X14" s="32">
        <v>0.0</v>
      </c>
    </row>
    <row r="15">
      <c r="C15" s="28" t="s">
        <v>130</v>
      </c>
      <c r="D15" s="32">
        <v>0.0</v>
      </c>
      <c r="G15" s="28" t="s">
        <v>130</v>
      </c>
      <c r="H15" s="32">
        <v>0.0</v>
      </c>
      <c r="K15" s="28" t="s">
        <v>130</v>
      </c>
      <c r="L15" s="32">
        <v>0.0</v>
      </c>
      <c r="O15" s="28" t="s">
        <v>130</v>
      </c>
      <c r="P15" s="32">
        <v>0.0</v>
      </c>
      <c r="Q15" s="28" t="s">
        <v>121</v>
      </c>
      <c r="R15" s="39">
        <v>0.5</v>
      </c>
      <c r="S15" s="28" t="s">
        <v>130</v>
      </c>
      <c r="T15" s="32">
        <v>0.0</v>
      </c>
      <c r="W15" s="28" t="s">
        <v>130</v>
      </c>
      <c r="X15" s="32">
        <v>0.0</v>
      </c>
    </row>
    <row r="16">
      <c r="C16" s="28" t="s">
        <v>131</v>
      </c>
      <c r="D16" s="40">
        <v>0.0</v>
      </c>
      <c r="G16" s="28" t="s">
        <v>131</v>
      </c>
      <c r="H16" s="40">
        <v>0.0</v>
      </c>
      <c r="K16" s="28" t="s">
        <v>131</v>
      </c>
      <c r="L16" s="40">
        <v>0.0</v>
      </c>
      <c r="O16" s="28" t="s">
        <v>131</v>
      </c>
      <c r="P16" s="40">
        <v>0.0</v>
      </c>
      <c r="Q16" s="28" t="s">
        <v>128</v>
      </c>
      <c r="R16" s="41">
        <f>R14-TODAY()</f>
        <v>-3</v>
      </c>
      <c r="S16" s="28" t="s">
        <v>131</v>
      </c>
      <c r="T16" s="40">
        <v>0.0</v>
      </c>
      <c r="W16" s="28" t="s">
        <v>131</v>
      </c>
      <c r="X16" s="40">
        <v>0.0</v>
      </c>
    </row>
    <row r="19">
      <c r="A19" s="42">
        <f>1.5 + 2.5 + 2 + 5</f>
        <v>11</v>
      </c>
    </row>
    <row r="20">
      <c r="A20" s="42">
        <f>11+4+1.5</f>
        <v>16.5</v>
      </c>
    </row>
    <row r="21">
      <c r="A21" s="42">
        <f>2+2+2+3</f>
        <v>9</v>
      </c>
    </row>
  </sheetData>
  <mergeCells count="25">
    <mergeCell ref="A1:X1"/>
    <mergeCell ref="A2:D2"/>
    <mergeCell ref="E2:H2"/>
    <mergeCell ref="I2:L2"/>
    <mergeCell ref="M2:P2"/>
    <mergeCell ref="Q2:T2"/>
    <mergeCell ref="U2:X2"/>
    <mergeCell ref="O3:P3"/>
    <mergeCell ref="Q3:R3"/>
    <mergeCell ref="S3:T3"/>
    <mergeCell ref="U3:V3"/>
    <mergeCell ref="W3:X3"/>
    <mergeCell ref="A8:B8"/>
    <mergeCell ref="E8:F8"/>
    <mergeCell ref="I8:J8"/>
    <mergeCell ref="M8:N8"/>
    <mergeCell ref="Q8:R8"/>
    <mergeCell ref="U8:V8"/>
    <mergeCell ref="A3:B3"/>
    <mergeCell ref="C3:D3"/>
    <mergeCell ref="E3:F3"/>
    <mergeCell ref="G3:H3"/>
    <mergeCell ref="I3:J3"/>
    <mergeCell ref="K3:L3"/>
    <mergeCell ref="M3:N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30</v>
      </c>
    </row>
    <row r="2">
      <c r="A2" s="17" t="s">
        <v>132</v>
      </c>
      <c r="B2" s="17" t="s">
        <v>133</v>
      </c>
      <c r="C2" s="17" t="s">
        <v>134</v>
      </c>
    </row>
    <row r="3">
      <c r="A3" s="17" t="s">
        <v>135</v>
      </c>
      <c r="B3" s="17"/>
      <c r="C3" s="17"/>
    </row>
    <row r="4">
      <c r="B4" s="17">
        <v>5.0</v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3.5"/>
    <col customWidth="1" min="3" max="3" width="11.0"/>
    <col customWidth="1" min="4" max="4" width="3.5"/>
    <col customWidth="1" min="5" max="5" width="8.38"/>
    <col customWidth="1" min="6" max="7" width="5.13"/>
    <col customWidth="1" min="8" max="8" width="6.88"/>
    <col customWidth="1" min="9" max="10" width="5.13"/>
    <col customWidth="1" min="11" max="11" width="8.63"/>
    <col customWidth="1" min="14" max="16" width="2.63"/>
    <col customWidth="1" min="17" max="20" width="6.38"/>
    <col customWidth="1" min="21" max="21" width="22.25"/>
    <col customWidth="1" min="22" max="26" width="6.38"/>
  </cols>
  <sheetData>
    <row r="1">
      <c r="A1" s="27" t="s">
        <v>136</v>
      </c>
      <c r="B1" s="2"/>
      <c r="C1" s="2"/>
      <c r="D1" s="2"/>
      <c r="E1" s="2"/>
      <c r="F1" s="2"/>
      <c r="G1" s="2"/>
      <c r="H1" s="2"/>
      <c r="I1" s="2"/>
      <c r="J1" s="2"/>
      <c r="K1" s="3"/>
      <c r="N1" s="43"/>
      <c r="O1" s="44"/>
      <c r="P1" s="43"/>
    </row>
    <row r="2">
      <c r="A2" s="45" t="s">
        <v>137</v>
      </c>
      <c r="B2" s="3"/>
      <c r="C2" s="45" t="s">
        <v>138</v>
      </c>
      <c r="D2" s="3"/>
      <c r="E2" s="27" t="s">
        <v>139</v>
      </c>
      <c r="F2" s="2"/>
      <c r="G2" s="2"/>
      <c r="H2" s="3"/>
      <c r="I2" s="27" t="s">
        <v>140</v>
      </c>
      <c r="J2" s="2"/>
      <c r="K2" s="2"/>
      <c r="L2" s="3"/>
      <c r="N2" s="44"/>
      <c r="O2" s="43"/>
      <c r="P2" s="44"/>
      <c r="Q2" s="17" t="s">
        <v>141</v>
      </c>
      <c r="R2" s="17">
        <v>0.0</v>
      </c>
      <c r="S2" s="17" t="s">
        <v>142</v>
      </c>
      <c r="T2" s="42" t="str">
        <f>TEXT(Y2,"dddd")</f>
        <v>Sunday</v>
      </c>
      <c r="U2" s="42">
        <f>WEEKDAY(Y2, 2)*2</f>
        <v>14</v>
      </c>
      <c r="V2" s="42" t="str">
        <f>IFERROR(__xludf.DUMMYFUNCTION("REGEXREPLACE(ADDRESS(1, U2 + 1, 4), ""1"", """")
"),"O")</f>
        <v>O</v>
      </c>
      <c r="W2" s="17" t="s">
        <v>143</v>
      </c>
      <c r="X2" s="46">
        <f t="shared" ref="X2:Z2" si="1">TODAY()</f>
        <v>45998</v>
      </c>
      <c r="Y2" s="46">
        <f t="shared" si="1"/>
        <v>45998</v>
      </c>
      <c r="Z2" s="46">
        <f t="shared" si="1"/>
        <v>45998</v>
      </c>
    </row>
    <row r="3">
      <c r="A3" s="17" t="s">
        <v>144</v>
      </c>
      <c r="C3" s="47" t="s">
        <v>145</v>
      </c>
      <c r="D3" s="42" t="b">
        <v>0</v>
      </c>
      <c r="E3" s="28" t="s">
        <v>132</v>
      </c>
      <c r="F3" s="28" t="s">
        <v>146</v>
      </c>
      <c r="G3" s="28" t="s">
        <v>147</v>
      </c>
      <c r="H3" s="28" t="s">
        <v>148</v>
      </c>
      <c r="I3" s="28" t="s">
        <v>149</v>
      </c>
      <c r="J3" s="28" t="s">
        <v>146</v>
      </c>
      <c r="K3" s="28" t="s">
        <v>147</v>
      </c>
      <c r="L3" s="28" t="s">
        <v>150</v>
      </c>
      <c r="N3" s="43"/>
      <c r="O3" s="44"/>
      <c r="P3" s="43"/>
      <c r="T3" s="17" t="s">
        <v>151</v>
      </c>
      <c r="U3" s="17" t="s">
        <v>152</v>
      </c>
      <c r="V3" s="17" t="s">
        <v>153</v>
      </c>
      <c r="W3" s="17" t="s">
        <v>146</v>
      </c>
      <c r="X3" s="17" t="s">
        <v>154</v>
      </c>
      <c r="Y3" s="17" t="s">
        <v>155</v>
      </c>
      <c r="Z3" s="17" t="s">
        <v>156</v>
      </c>
    </row>
    <row r="4">
      <c r="A4" s="17" t="s">
        <v>157</v>
      </c>
      <c r="C4" s="47" t="s">
        <v>158</v>
      </c>
      <c r="D4" s="42" t="b">
        <v>0</v>
      </c>
      <c r="E4" s="31" t="s">
        <v>159</v>
      </c>
      <c r="F4" s="48">
        <v>0.3958333333333333</v>
      </c>
      <c r="G4" s="49">
        <v>0.4791666666666667</v>
      </c>
      <c r="H4" s="50">
        <v>0.5</v>
      </c>
      <c r="I4" s="51" t="str">
        <f>IFERROR(__xludf.DUMMYFUNCTION("ARRAYFORMULA(
  FILTER(
    IF(
      T4:T139 = ""Clases"",
      IFNA(REGEXREPLACE(V4:V139, ""^.*\] ?"", """")),
      """"
    ),
    T4:T139 = ""Clases""
  )
)
"),"#N/A")</f>
        <v>#N/A</v>
      </c>
      <c r="J4" s="52" t="str">
        <f t="shared" ref="J4:J9" si="2">IFERROR(INDIRECT("'Calendario'!A" &amp; VLOOKUP(I4,$U$4:$W$18,3,FALSE)),"")</f>
        <v/>
      </c>
      <c r="K4" s="53" t="str">
        <f t="shared" ref="K4:K9" si="3">IFERROR(INDIRECT("'Calendario'!A" &amp; VLOOKUP(I4,$U$4:$Y$18,5,FALSE)),"")</f>
        <v/>
      </c>
      <c r="L4" s="31" t="b">
        <v>0</v>
      </c>
      <c r="N4" s="44"/>
      <c r="O4" s="43"/>
      <c r="P4" s="44"/>
      <c r="T4" s="54" t="str">
        <f>IFERROR(__xludf.DUMMYFUNCTION("IFNA(REGEXEXTRACT(V4, ""\[(.*?)\]""),"""")"),"General")</f>
        <v>General</v>
      </c>
      <c r="U4" s="55" t="str">
        <f>IFERROR(__xludf.DUMMYFUNCTION("IFNA(REGEXREPLACE(V4, ""^.*\] ?"", """"),"""")"),"Placeholder")</f>
        <v>Placeholder</v>
      </c>
      <c r="V4" s="54" t="str">
        <f>IFERROR(__xludf.DUMMYFUNCTION("IFNA(
  FILTER(
    {
      INDIRECT(""'Calendario'!"" &amp; ADDRESS(2, U2) &amp; "":"" &amp; ADDRESS(ROWS(A:A), U2));
      INDIRECT(""'Calendario'!"" &amp; ADDRESS(2, U2 + 1) &amp; "":"" &amp; ADDRESS(ROWS(A:A), U2 + 1))
    },
    {
      INDIRECT(""'Calendario'!"" &amp; ADDRESS("&amp;"2, U2) &amp; "":"" &amp; ADDRESS(ROWS(A:A), U2)) &lt;&gt; """";
      INDIRECT(""'Calendario'!"" &amp; ADDRESS(2, U2 + 1) &amp; "":"" &amp; ADDRESS(ROWS(A:A), U2 + 1)) &lt;&gt; """"
    }
  ),
"""")
"),"[General] Placeholder")</f>
        <v>[General] Placeholder</v>
      </c>
      <c r="W4" s="54">
        <f t="shared" ref="W4:W18" si="4">IFNA(
  MATCH(
    V4,
    INDIRECT("'Calendario'!" &amp; ADDRESS(2, $U$2) &amp; ":" &amp; ADDRESS(ROWS(A:A), $U$2)),
    0
  ) + 1,
MATCH(
    V4,
    INDIRECT("'Calendario'!" &amp; ADDRESS(2, $U$2 +1 ) &amp; ":" &amp; ADDRESS(ROWS(A:A), $U$2 + 1)),
    0
  ) + 1)</f>
        <v>6</v>
      </c>
      <c r="X4" s="54" t="str">
        <f>IFERROR(__xludf.DUMMYFUNCTION("IF(
  INDIRECT(""'Calendario'!"" &amp; $V$2 &amp; $W4) = V4,
  $V$2,
  REGEXEXTRACT(ADDRESS(1, $U$2, 4), ""[A-Z]+"")
)
"),"N")</f>
        <v>N</v>
      </c>
      <c r="Y4" s="54" t="str">
        <f>IFERROR(__xludf.DUMMYFUNCTION("iferror(VALUE(REGEXEXTRACT(TEXT(getMergeEnd(""Calendario!""&amp; $X4&amp; W4),0), ""\d+$"")) + 1,"""")"),"")</f>
        <v/>
      </c>
      <c r="Z4" s="54" t="str">
        <f>IFERROR(__xludf.DUMMYFUNCTION("iferror(VALUE(REGEXEXTRACT(TEXT(Y4,0), ""\d+$"")) - W4,"""")
"),"")</f>
        <v/>
      </c>
    </row>
    <row r="5">
      <c r="A5" s="17" t="s">
        <v>160</v>
      </c>
      <c r="B5" s="42" t="b">
        <v>0</v>
      </c>
      <c r="C5" s="47" t="s">
        <v>161</v>
      </c>
      <c r="D5" s="42" t="b">
        <v>0</v>
      </c>
      <c r="E5" s="51"/>
      <c r="F5" s="52"/>
      <c r="G5" s="53"/>
      <c r="H5" s="31"/>
      <c r="I5" s="51"/>
      <c r="J5" s="52" t="str">
        <f t="shared" si="2"/>
        <v/>
      </c>
      <c r="K5" s="53" t="str">
        <f t="shared" si="3"/>
        <v/>
      </c>
      <c r="L5" s="31" t="b">
        <v>1</v>
      </c>
      <c r="N5" s="43"/>
      <c r="O5" s="44"/>
      <c r="P5" s="43"/>
      <c r="T5" s="54" t="str">
        <f>IFERROR(__xludf.DUMMYFUNCTION("IFNA(REGEXEXTRACT(V5, ""\[(.*?)\]""),"""")"),"General")</f>
        <v>General</v>
      </c>
      <c r="U5" s="55" t="str">
        <f>IFERROR(__xludf.DUMMYFUNCTION("IFNA(REGEXREPLACE(V5, ""^.*\] ?"", """"),"""")"),"Placeholder")</f>
        <v>Placeholder</v>
      </c>
      <c r="V5" s="54" t="str">
        <f>IFERROR(__xludf.DUMMYFUNCTION("""COMPUTED_VALUE"""),"[General] Placeholder")</f>
        <v>[General] Placeholder</v>
      </c>
      <c r="W5" s="54">
        <f t="shared" si="4"/>
        <v>6</v>
      </c>
      <c r="X5" s="54" t="str">
        <f>IFERROR(__xludf.DUMMYFUNCTION("IF(
  INDIRECT(""'Calendario'!"" &amp; $V$2 &amp; $W5) = V5,
  $V$2,
  REGEXEXTRACT(ADDRESS(1, $U$2, 4), ""[A-Z]+"")
)
"),"N")</f>
        <v>N</v>
      </c>
      <c r="Y5" s="54" t="str">
        <f>IFERROR(__xludf.DUMMYFUNCTION("iferror(VALUE(REGEXEXTRACT(TEXT(getMergeEnd(""Calendario!""&amp; $X5&amp; W5),0), ""\d+$"")) + 1,"""")"),"")</f>
        <v/>
      </c>
      <c r="Z5" s="54" t="str">
        <f>IFERROR(__xludf.DUMMYFUNCTION("iferror(VALUE(REGEXEXTRACT(TEXT(Y5,0), ""\d+$"")) - W5,"""")
"),"")</f>
        <v/>
      </c>
    </row>
    <row r="6">
      <c r="A6" s="17" t="s">
        <v>162</v>
      </c>
      <c r="B6" s="42" t="b">
        <v>0</v>
      </c>
      <c r="C6" s="56"/>
      <c r="E6" s="51"/>
      <c r="F6" s="52"/>
      <c r="G6" s="53"/>
      <c r="H6" s="31"/>
      <c r="I6" s="51"/>
      <c r="J6" s="52" t="str">
        <f t="shared" si="2"/>
        <v/>
      </c>
      <c r="K6" s="53" t="str">
        <f t="shared" si="3"/>
        <v/>
      </c>
      <c r="L6" s="31" t="b">
        <v>0</v>
      </c>
      <c r="N6" s="44"/>
      <c r="O6" s="43"/>
      <c r="P6" s="44"/>
      <c r="T6" s="54" t="str">
        <f>IFERROR(__xludf.DUMMYFUNCTION("IFNA(REGEXEXTRACT(V6, ""\[(.*?)\]""),"""")"),"")</f>
        <v/>
      </c>
      <c r="U6" s="55" t="str">
        <f>IFERROR(__xludf.DUMMYFUNCTION("IFNA(REGEXREPLACE(V6, ""^.*\] ?"", """"),"""")"),"")</f>
        <v/>
      </c>
      <c r="V6" s="54"/>
      <c r="W6" s="54" t="str">
        <f t="shared" si="4"/>
        <v>#N/A</v>
      </c>
      <c r="X6" s="54" t="str">
        <f>IFERROR(__xludf.DUMMYFUNCTION("IF(
  INDIRECT(""'Calendario'!"" &amp; $V$2 &amp; $W6) = V6,
  $V$2,
  REGEXEXTRACT(ADDRESS(1, $U$2, 4), ""[A-Z]+"")
)
"),"#N/A")</f>
        <v>#N/A</v>
      </c>
      <c r="Y6" s="54" t="str">
        <f>IFERROR(__xludf.DUMMYFUNCTION("iferror(VALUE(REGEXEXTRACT(TEXT(getMergeEnd(""Calendario!""&amp; $X6&amp; W6),0), ""\d+$"")) + 1,"""")"),"")</f>
        <v/>
      </c>
      <c r="Z6" s="54" t="str">
        <f>IFERROR(__xludf.DUMMYFUNCTION("iferror(VALUE(REGEXEXTRACT(TEXT(Y6,0), ""\d+$"")) - W6,"""")
"),"")</f>
        <v/>
      </c>
    </row>
    <row r="7">
      <c r="C7" s="56"/>
      <c r="E7" s="51"/>
      <c r="F7" s="52"/>
      <c r="G7" s="53"/>
      <c r="H7" s="31"/>
      <c r="I7" s="51"/>
      <c r="J7" s="52" t="str">
        <f t="shared" si="2"/>
        <v/>
      </c>
      <c r="K7" s="53" t="str">
        <f t="shared" si="3"/>
        <v/>
      </c>
      <c r="L7" s="31" t="b">
        <v>0</v>
      </c>
      <c r="N7" s="43"/>
      <c r="O7" s="44"/>
      <c r="P7" s="43"/>
      <c r="T7" s="54" t="str">
        <f>IFERROR(__xludf.DUMMYFUNCTION("IFNA(REGEXEXTRACT(V7, ""\[(.*?)\]""),"""")"),"")</f>
        <v/>
      </c>
      <c r="U7" s="55" t="str">
        <f>IFERROR(__xludf.DUMMYFUNCTION("IFNA(REGEXREPLACE(V7, ""^.*\] ?"", """"),"""")"),"")</f>
        <v/>
      </c>
      <c r="V7" s="54"/>
      <c r="W7" s="54" t="str">
        <f t="shared" si="4"/>
        <v>#N/A</v>
      </c>
      <c r="X7" s="54" t="str">
        <f>IFERROR(__xludf.DUMMYFUNCTION("IF(
  INDIRECT(""'Calendario'!"" &amp; $V$2 &amp; $W7) = V7,
  $V$2,
  REGEXEXTRACT(ADDRESS(1, $U$2, 4), ""[A-Z]+"")
)
"),"#N/A")</f>
        <v>#N/A</v>
      </c>
      <c r="Y7" s="54" t="str">
        <f>IFERROR(__xludf.DUMMYFUNCTION("iferror(VALUE(REGEXEXTRACT(TEXT(getMergeEnd(""Calendario!""&amp; $X7&amp; W7),0), ""\d+$"")) + 1,"""")"),"")</f>
        <v/>
      </c>
      <c r="Z7" s="54" t="str">
        <f>IFERROR(__xludf.DUMMYFUNCTION("iferror(VALUE(REGEXEXTRACT(TEXT(Y7,0), ""\d+$"")) - W7,"""")
"),"")</f>
        <v/>
      </c>
    </row>
    <row r="8">
      <c r="C8" s="56"/>
      <c r="E8" s="51"/>
      <c r="F8" s="52"/>
      <c r="G8" s="53"/>
      <c r="H8" s="31"/>
      <c r="I8" s="51"/>
      <c r="J8" s="52" t="str">
        <f t="shared" si="2"/>
        <v/>
      </c>
      <c r="K8" s="53" t="str">
        <f t="shared" si="3"/>
        <v/>
      </c>
      <c r="L8" s="31" t="b">
        <v>0</v>
      </c>
      <c r="N8" s="44"/>
      <c r="O8" s="43"/>
      <c r="P8" s="44"/>
      <c r="T8" s="54" t="str">
        <f>IFERROR(__xludf.DUMMYFUNCTION("IFNA(REGEXEXTRACT(V8, ""\[(.*?)\]""),"""")"),"")</f>
        <v/>
      </c>
      <c r="U8" s="55" t="str">
        <f>IFERROR(__xludf.DUMMYFUNCTION("IFNA(REGEXREPLACE(V8, ""^.*\] ?"", """"),"""")"),"")</f>
        <v/>
      </c>
      <c r="V8" s="54"/>
      <c r="W8" s="54" t="str">
        <f t="shared" si="4"/>
        <v>#N/A</v>
      </c>
      <c r="X8" s="54" t="str">
        <f>IFERROR(__xludf.DUMMYFUNCTION("IF(
  INDIRECT(""'Calendario'!"" &amp; $V$2 &amp; $W8) = V8,
  $V$2,
  REGEXEXTRACT(ADDRESS(1, $U$2, 4), ""[A-Z]+"")
)
"),"#N/A")</f>
        <v>#N/A</v>
      </c>
      <c r="Y8" s="54" t="str">
        <f>IFERROR(__xludf.DUMMYFUNCTION("iferror(VALUE(REGEXEXTRACT(TEXT(getMergeEnd(""Calendario!""&amp; $X8&amp; W8),0), ""\d+$"")) + 1,"""")"),"")</f>
        <v/>
      </c>
      <c r="Z8" s="54" t="str">
        <f>IFERROR(__xludf.DUMMYFUNCTION("iferror(VALUE(REGEXEXTRACT(TEXT(Y8,0), ""\d+$"")) - W8,"""")
"),"")</f>
        <v/>
      </c>
    </row>
    <row r="9">
      <c r="C9" s="56"/>
      <c r="E9" s="51"/>
      <c r="F9" s="52"/>
      <c r="G9" s="53"/>
      <c r="H9" s="31"/>
      <c r="I9" s="51"/>
      <c r="J9" s="52" t="str">
        <f t="shared" si="2"/>
        <v/>
      </c>
      <c r="K9" s="53" t="str">
        <f t="shared" si="3"/>
        <v/>
      </c>
      <c r="L9" s="31" t="b">
        <v>0</v>
      </c>
      <c r="N9" s="43"/>
      <c r="O9" s="44"/>
      <c r="P9" s="43"/>
      <c r="T9" s="54" t="str">
        <f>IFERROR(__xludf.DUMMYFUNCTION("IFNA(REGEXEXTRACT(V9, ""\[(.*?)\]""),"""")"),"")</f>
        <v/>
      </c>
      <c r="U9" s="55" t="str">
        <f>IFERROR(__xludf.DUMMYFUNCTION("IFNA(REGEXREPLACE(V9, ""^.*\] ?"", """"),"""")"),"")</f>
        <v/>
      </c>
      <c r="V9" s="54"/>
      <c r="W9" s="54" t="str">
        <f t="shared" si="4"/>
        <v>#N/A</v>
      </c>
      <c r="X9" s="54" t="str">
        <f>IFERROR(__xludf.DUMMYFUNCTION("IF(
  INDIRECT(""'Calendario'!"" &amp; $V$2 &amp; $W9) = V9,
  $V$2,
  REGEXEXTRACT(ADDRESS(1, $U$2, 4), ""[A-Z]+"")
)
"),"#N/A")</f>
        <v>#N/A</v>
      </c>
      <c r="Y9" s="54" t="str">
        <f>IFERROR(__xludf.DUMMYFUNCTION("iferror(VALUE(REGEXEXTRACT(TEXT(getMergeEnd(""Calendario!""&amp; $X9&amp; W9),0), ""\d+$"")) + 1,"""")"),"")</f>
        <v/>
      </c>
      <c r="Z9" s="54" t="str">
        <f>IFERROR(__xludf.DUMMYFUNCTION("iferror(VALUE(REGEXEXTRACT(TEXT(Y9,0), ""\d+$"")) - W9,"""")
"),"")</f>
        <v/>
      </c>
    </row>
    <row r="10">
      <c r="C10" s="56"/>
      <c r="I10" s="45" t="s">
        <v>30</v>
      </c>
      <c r="J10" s="2"/>
      <c r="K10" s="3"/>
      <c r="L10" s="31" t="b">
        <v>0</v>
      </c>
      <c r="N10" s="44"/>
      <c r="O10" s="43"/>
      <c r="P10" s="44"/>
      <c r="T10" s="54" t="str">
        <f>IFERROR(__xludf.DUMMYFUNCTION("IFNA(REGEXEXTRACT(V10, ""\[(.*?)\]""),"""")"),"")</f>
        <v/>
      </c>
      <c r="U10" s="55" t="str">
        <f>IFERROR(__xludf.DUMMYFUNCTION("IFNA(REGEXREPLACE(V10, ""^.*\] ?"", """"),"""")"),"")</f>
        <v/>
      </c>
      <c r="V10" s="54"/>
      <c r="W10" s="54" t="str">
        <f t="shared" si="4"/>
        <v>#N/A</v>
      </c>
      <c r="X10" s="54" t="str">
        <f>IFERROR(__xludf.DUMMYFUNCTION("IF(
  INDIRECT(""'Calendario'!"" &amp; $V$2 &amp; $W10) = V10,
  $V$2,
  REGEXEXTRACT(ADDRESS(1, $U$2, 4), ""[A-Z]+"")
)
"),"#N/A")</f>
        <v>#N/A</v>
      </c>
      <c r="Y10" s="54" t="str">
        <f>IFERROR(__xludf.DUMMYFUNCTION("iferror(VALUE(REGEXEXTRACT(TEXT(getMergeEnd(""Calendario!""&amp; $X10&amp; W10),0), ""\d+$"")) + 1,"""")"),"")</f>
        <v/>
      </c>
      <c r="Z10" s="54" t="str">
        <f>IFERROR(__xludf.DUMMYFUNCTION("iferror(VALUE(REGEXEXTRACT(TEXT(Y10,0), ""\d+$"")) - W10,"""")
"),"")</f>
        <v/>
      </c>
    </row>
    <row r="11">
      <c r="C11" s="56"/>
      <c r="I11" s="28" t="s">
        <v>149</v>
      </c>
      <c r="J11" s="28" t="s">
        <v>146</v>
      </c>
      <c r="K11" s="28" t="s">
        <v>147</v>
      </c>
      <c r="L11" s="31" t="b">
        <v>0</v>
      </c>
      <c r="N11" s="43"/>
      <c r="O11" s="44"/>
      <c r="P11" s="43"/>
      <c r="T11" s="54" t="str">
        <f>IFERROR(__xludf.DUMMYFUNCTION("IFNA(REGEXEXTRACT(V11, ""\[(.*?)\]""),"""")"),"")</f>
        <v/>
      </c>
      <c r="U11" s="55" t="str">
        <f>IFERROR(__xludf.DUMMYFUNCTION("IFNA(REGEXREPLACE(V11, ""^.*\] ?"", """"),"""")"),"")</f>
        <v/>
      </c>
      <c r="V11" s="54"/>
      <c r="W11" s="54" t="str">
        <f t="shared" si="4"/>
        <v>#N/A</v>
      </c>
      <c r="X11" s="54" t="str">
        <f>IFERROR(__xludf.DUMMYFUNCTION("IF(
  INDIRECT(""'Calendario'!"" &amp; $V$2 &amp; $W11) = V11,
  $V$2,
  REGEXEXTRACT(ADDRESS(1, $U$2, 4), ""[A-Z]+"")
)
"),"#N/A")</f>
        <v>#N/A</v>
      </c>
      <c r="Y11" s="54" t="str">
        <f>IFERROR(__xludf.DUMMYFUNCTION("iferror(VALUE(REGEXEXTRACT(TEXT(getMergeEnd(""Calendario!""&amp; $X11&amp; W11),0), ""\d+$"")) + 1,"""")"),"")</f>
        <v/>
      </c>
      <c r="Z11" s="54" t="str">
        <f>IFERROR(__xludf.DUMMYFUNCTION("iferror(VALUE(REGEXEXTRACT(TEXT(Y11,0), ""\d+$"")) - W11,"""")
"),"")</f>
        <v/>
      </c>
    </row>
    <row r="12">
      <c r="C12" s="56"/>
      <c r="I12" s="56" t="str">
        <f>IFERROR(__xludf.DUMMYFUNCTION("ARRAYFORMULA(
  FILTER(
    IF(
      T4:T139 = ""Proyectos"",
      IFNA(REGEXREPLACE(V4:V139, ""^.*\] ?"", """")),
      """"
    ),
    T4:T139 = ""Proyectos""
  )
)
"),"#N/A")</f>
        <v>#N/A</v>
      </c>
      <c r="J12" s="53" t="str">
        <f t="shared" ref="J12:J18" si="5">IFERROR(INDIRECT("'Calendario'!A" &amp; VLOOKUP(I12,$U$4:$W$18,3,FALSE)),"")</f>
        <v/>
      </c>
      <c r="K12" s="57" t="str">
        <f t="shared" ref="K12:K18" si="6">IFERROR(INDIRECT("'Calendario'!A" &amp; VLOOKUP(I12,$U$4:$Y$18,5,FALSE)),"")</f>
        <v/>
      </c>
      <c r="L12" s="31" t="b">
        <v>0</v>
      </c>
      <c r="N12" s="44"/>
      <c r="O12" s="43"/>
      <c r="P12" s="44"/>
      <c r="T12" s="54" t="str">
        <f>IFERROR(__xludf.DUMMYFUNCTION("IFNA(REGEXEXTRACT(V12, ""\[(.*?)\]""),"""")"),"")</f>
        <v/>
      </c>
      <c r="U12" s="55" t="str">
        <f>IFERROR(__xludf.DUMMYFUNCTION("IFNA(REGEXREPLACE(V12, ""^.*\] ?"", """"),"""")"),"")</f>
        <v/>
      </c>
      <c r="V12" s="54"/>
      <c r="W12" s="54" t="str">
        <f t="shared" si="4"/>
        <v>#N/A</v>
      </c>
      <c r="X12" s="54" t="str">
        <f>IFERROR(__xludf.DUMMYFUNCTION("IF(
  INDIRECT(""'Calendario'!"" &amp; $V$2 &amp; $W12) = V12,
  $V$2,
  REGEXEXTRACT(ADDRESS(1, $U$2, 4), ""[A-Z]+"")
)
"),"#N/A")</f>
        <v>#N/A</v>
      </c>
      <c r="Y12" s="54" t="str">
        <f>IFERROR(__xludf.DUMMYFUNCTION("iferror(VALUE(REGEXEXTRACT(TEXT(getMergeEnd(""Calendario!""&amp; $X12&amp; W12),0), ""\d+$"")) + 1,"""")"),"")</f>
        <v/>
      </c>
      <c r="Z12" s="54" t="str">
        <f>IFERROR(__xludf.DUMMYFUNCTION("iferror(VALUE(REGEXEXTRACT(TEXT(Y12,0), ""\d+$"")) - W12,"""")
"),"")</f>
        <v/>
      </c>
    </row>
    <row r="13">
      <c r="C13" s="56"/>
      <c r="I13" s="51"/>
      <c r="J13" s="52" t="str">
        <f t="shared" si="5"/>
        <v/>
      </c>
      <c r="K13" s="53" t="str">
        <f t="shared" si="6"/>
        <v/>
      </c>
      <c r="L13" s="31" t="b">
        <v>0</v>
      </c>
      <c r="N13" s="43"/>
      <c r="O13" s="44"/>
      <c r="P13" s="43"/>
      <c r="T13" s="54" t="str">
        <f>IFERROR(__xludf.DUMMYFUNCTION("IFNA(REGEXEXTRACT(V13, ""\[(.*?)\]""),"""")"),"")</f>
        <v/>
      </c>
      <c r="U13" s="55" t="str">
        <f>IFERROR(__xludf.DUMMYFUNCTION("IFNA(REGEXREPLACE(V13, ""^.*\] ?"", """"),"""")"),"")</f>
        <v/>
      </c>
      <c r="V13" s="54"/>
      <c r="W13" s="54" t="str">
        <f t="shared" si="4"/>
        <v>#N/A</v>
      </c>
      <c r="X13" s="54" t="str">
        <f>IFERROR(__xludf.DUMMYFUNCTION("IF(
  INDIRECT(""'Calendario'!"" &amp; $V$2 &amp; $W13) = V13,
  $V$2,
  REGEXEXTRACT(ADDRESS(1, $U$2, 4), ""[A-Z]+"")
)
"),"#N/A")</f>
        <v>#N/A</v>
      </c>
      <c r="Y13" s="54" t="str">
        <f>IFERROR(__xludf.DUMMYFUNCTION("iferror(VALUE(REGEXEXTRACT(TEXT(getMergeEnd(""Calendario!""&amp; $X13&amp; W13),0), ""\d+$"")) + 1,"""")"),"")</f>
        <v/>
      </c>
      <c r="Z13" s="54" t="str">
        <f>IFERROR(__xludf.DUMMYFUNCTION("iferror(VALUE(REGEXEXTRACT(TEXT(Y13,0), ""\d+$"")) - W13,"""")
"),"")</f>
        <v/>
      </c>
    </row>
    <row r="14">
      <c r="C14" s="56"/>
      <c r="I14" s="51"/>
      <c r="J14" s="52" t="str">
        <f t="shared" si="5"/>
        <v/>
      </c>
      <c r="K14" s="53" t="str">
        <f t="shared" si="6"/>
        <v/>
      </c>
      <c r="L14" s="31" t="b">
        <v>0</v>
      </c>
      <c r="N14" s="44"/>
      <c r="O14" s="43"/>
      <c r="P14" s="44"/>
      <c r="T14" s="54" t="str">
        <f>IFERROR(__xludf.DUMMYFUNCTION("IFNA(REGEXEXTRACT(V14, ""\[(.*?)\]""),"""")"),"")</f>
        <v/>
      </c>
      <c r="U14" s="55" t="str">
        <f>IFERROR(__xludf.DUMMYFUNCTION("IFNA(REGEXREPLACE(V14, ""^.*\] ?"", """"),"""")"),"")</f>
        <v/>
      </c>
      <c r="V14" s="54"/>
      <c r="W14" s="54" t="str">
        <f t="shared" si="4"/>
        <v>#N/A</v>
      </c>
      <c r="X14" s="54" t="str">
        <f>IFERROR(__xludf.DUMMYFUNCTION("IF(
  INDIRECT(""'Calendario'!"" &amp; $V$2 &amp; $W14) = V14,
  $V$2,
  REGEXEXTRACT(ADDRESS(1, $U$2, 4), ""[A-Z]+"")
)
"),"#N/A")</f>
        <v>#N/A</v>
      </c>
      <c r="Y14" s="54" t="str">
        <f>IFERROR(__xludf.DUMMYFUNCTION("iferror(VALUE(REGEXEXTRACT(TEXT(getMergeEnd(""Calendario!""&amp; $X14&amp; W14),0), ""\d+$"")) + 1,"""")"),"")</f>
        <v/>
      </c>
      <c r="Z14" s="54" t="str">
        <f>IFERROR(__xludf.DUMMYFUNCTION("iferror(VALUE(REGEXEXTRACT(TEXT(Y14,0), ""\d+$"")) - W14,"""")
"),"")</f>
        <v/>
      </c>
    </row>
    <row r="15">
      <c r="C15" s="56"/>
      <c r="I15" s="51"/>
      <c r="J15" s="52" t="str">
        <f t="shared" si="5"/>
        <v/>
      </c>
      <c r="K15" s="53" t="str">
        <f t="shared" si="6"/>
        <v/>
      </c>
      <c r="L15" s="31" t="b">
        <v>0</v>
      </c>
      <c r="N15" s="43"/>
      <c r="O15" s="44"/>
      <c r="P15" s="43"/>
      <c r="T15" s="54" t="str">
        <f>IFERROR(__xludf.DUMMYFUNCTION("IFNA(REGEXEXTRACT(V15, ""\[(.*?)\]""),"""")"),"")</f>
        <v/>
      </c>
      <c r="U15" s="55" t="str">
        <f>IFERROR(__xludf.DUMMYFUNCTION("IFNA(REGEXREPLACE(V15, ""^.*\] ?"", """"),"""")"),"")</f>
        <v/>
      </c>
      <c r="V15" s="54"/>
      <c r="W15" s="54" t="str">
        <f t="shared" si="4"/>
        <v>#N/A</v>
      </c>
      <c r="X15" s="54" t="str">
        <f>IFERROR(__xludf.DUMMYFUNCTION("IF(
  INDIRECT(""'Calendario'!"" &amp; $V$2 &amp; $W15) = V15,
  $V$2,
  REGEXEXTRACT(ADDRESS(1, $U$2, 4), ""[A-Z]+"")
)
"),"#N/A")</f>
        <v>#N/A</v>
      </c>
      <c r="Y15" s="54" t="str">
        <f>IFERROR(__xludf.DUMMYFUNCTION("iferror(VALUE(REGEXEXTRACT(TEXT(getMergeEnd(""Calendario!""&amp; $X15&amp; W15),0), ""\d+$"")) + 1,"""")"),"")</f>
        <v/>
      </c>
      <c r="Z15" s="54" t="str">
        <f>IFERROR(__xludf.DUMMYFUNCTION("iferror(VALUE(REGEXEXTRACT(TEXT(Y15,0), ""\d+$"")) - W15,"""")
"),"")</f>
        <v/>
      </c>
    </row>
    <row r="16">
      <c r="C16" s="56"/>
      <c r="I16" s="51"/>
      <c r="J16" s="52" t="str">
        <f t="shared" si="5"/>
        <v/>
      </c>
      <c r="K16" s="53" t="str">
        <f t="shared" si="6"/>
        <v/>
      </c>
      <c r="L16" s="31" t="b">
        <v>0</v>
      </c>
      <c r="N16" s="44"/>
      <c r="O16" s="43"/>
      <c r="P16" s="44"/>
      <c r="T16" s="54" t="str">
        <f>IFERROR(__xludf.DUMMYFUNCTION("IFNA(REGEXEXTRACT(V16, ""\[(.*?)\]""),"""")"),"")</f>
        <v/>
      </c>
      <c r="U16" s="55" t="str">
        <f>IFERROR(__xludf.DUMMYFUNCTION("IFNA(REGEXREPLACE(V16, ""^.*\] ?"", """"),"""")"),"")</f>
        <v/>
      </c>
      <c r="V16" s="54"/>
      <c r="W16" s="54" t="str">
        <f t="shared" si="4"/>
        <v>#N/A</v>
      </c>
      <c r="X16" s="54" t="str">
        <f>IFERROR(__xludf.DUMMYFUNCTION("IF(
  INDIRECT(""'Calendario'!"" &amp; $V$2 &amp; $W16) = V16,
  $V$2,
  REGEXEXTRACT(ADDRESS(1, $U$2, 4), ""[A-Z]+"")
)
"),"#N/A")</f>
        <v>#N/A</v>
      </c>
      <c r="Y16" s="54" t="str">
        <f>IFERROR(__xludf.DUMMYFUNCTION("iferror(VALUE(REGEXEXTRACT(TEXT(getMergeEnd(""Calendario!""&amp; $X16&amp; W16),0), ""\d+$"")) + 1,"""")"),"")</f>
        <v/>
      </c>
      <c r="Z16" s="54" t="str">
        <f>IFERROR(__xludf.DUMMYFUNCTION("iferror(VALUE(REGEXEXTRACT(TEXT(Y16,0), ""\d+$"")) - W16,"""")
"),"")</f>
        <v/>
      </c>
    </row>
    <row r="17">
      <c r="C17" s="56"/>
      <c r="I17" s="51"/>
      <c r="J17" s="52" t="str">
        <f t="shared" si="5"/>
        <v/>
      </c>
      <c r="K17" s="53" t="str">
        <f t="shared" si="6"/>
        <v/>
      </c>
      <c r="L17" s="31" t="b">
        <v>0</v>
      </c>
      <c r="N17" s="43"/>
      <c r="O17" s="44"/>
      <c r="P17" s="43"/>
      <c r="T17" s="54" t="str">
        <f>IFERROR(__xludf.DUMMYFUNCTION("IFNA(REGEXEXTRACT(V17, ""\[(.*?)\]""),"""")"),"")</f>
        <v/>
      </c>
      <c r="U17" s="55" t="str">
        <f>IFERROR(__xludf.DUMMYFUNCTION("IFNA(REGEXREPLACE(V17, ""^.*\] ?"", """"),"""")"),"")</f>
        <v/>
      </c>
      <c r="V17" s="54"/>
      <c r="W17" s="54" t="str">
        <f t="shared" si="4"/>
        <v>#N/A</v>
      </c>
      <c r="X17" s="54" t="str">
        <f>IFERROR(__xludf.DUMMYFUNCTION("IF(
  INDIRECT(""'Calendario'!"" &amp; $V$2 &amp; $W17) = V17,
  $V$2,
  REGEXEXTRACT(ADDRESS(1, $U$2, 4), ""[A-Z]+"")
)
"),"#N/A")</f>
        <v>#N/A</v>
      </c>
      <c r="Y17" s="54" t="str">
        <f>IFERROR(__xludf.DUMMYFUNCTION("iferror(VALUE(REGEXEXTRACT(TEXT(getMergeEnd(""Calendario!""&amp; $X17&amp; W17),0), ""\d+$"")) + 1,"""")"),"")</f>
        <v/>
      </c>
      <c r="Z17" s="54" t="str">
        <f>IFERROR(__xludf.DUMMYFUNCTION("iferror(VALUE(REGEXEXTRACT(TEXT(Y17,0), ""\d+$"")) - W17,"""")
"),"")</f>
        <v/>
      </c>
    </row>
    <row r="18">
      <c r="A18" s="58"/>
      <c r="B18" s="58"/>
      <c r="C18" s="58"/>
      <c r="D18" s="58"/>
      <c r="I18" s="37"/>
      <c r="J18" s="52" t="str">
        <f t="shared" si="5"/>
        <v/>
      </c>
      <c r="K18" s="53" t="str">
        <f t="shared" si="6"/>
        <v/>
      </c>
      <c r="L18" s="33" t="b">
        <v>0</v>
      </c>
      <c r="N18" s="44"/>
      <c r="O18" s="43"/>
      <c r="P18" s="44"/>
      <c r="T18" s="54" t="str">
        <f>IFERROR(__xludf.DUMMYFUNCTION("IFNA(REGEXEXTRACT(V18, ""\[(.*?)\]""),"""")"),"")</f>
        <v/>
      </c>
      <c r="U18" s="55" t="str">
        <f>IFERROR(__xludf.DUMMYFUNCTION("IFNA(REGEXREPLACE(V18, ""^.*\] ?"", """"),"""")"),"")</f>
        <v/>
      </c>
      <c r="V18" s="54"/>
      <c r="W18" s="54" t="str">
        <f t="shared" si="4"/>
        <v>#N/A</v>
      </c>
      <c r="X18" s="54" t="str">
        <f>IFERROR(__xludf.DUMMYFUNCTION("IF(
  INDIRECT(""'Calendario'!"" &amp; $V$2 &amp; $W18) = V18,
  $V$2,
  REGEXEXTRACT(ADDRESS(1, $U$2, 4), ""[A-Z]+"")
)
"),"#N/A")</f>
        <v>#N/A</v>
      </c>
      <c r="Y18" s="54" t="str">
        <f>IFERROR(__xludf.DUMMYFUNCTION("iferror(VALUE(REGEXEXTRACT(TEXT(getMergeEnd(""Calendario!""&amp; $X18&amp; W18),0), ""\d+$"")) + 1,"""")"),"")</f>
        <v/>
      </c>
      <c r="Z18" s="54" t="str">
        <f>IFERROR(__xludf.DUMMYFUNCTION("iferror(VALUE(REGEXEXTRACT(TEXT(Y18,0), ""\d+$"")) - W18,"""")
"),"")</f>
        <v/>
      </c>
    </row>
    <row r="19">
      <c r="F19" s="53"/>
      <c r="G19" s="53"/>
      <c r="N19" s="43"/>
      <c r="O19" s="44"/>
      <c r="P19" s="43"/>
    </row>
    <row r="20">
      <c r="F20" s="53"/>
      <c r="G20" s="53"/>
      <c r="N20" s="44"/>
      <c r="O20" s="43"/>
      <c r="P20" s="44"/>
    </row>
    <row r="21">
      <c r="F21" s="53"/>
      <c r="G21" s="53"/>
      <c r="N21" s="43"/>
      <c r="O21" s="44"/>
      <c r="P21" s="43"/>
    </row>
    <row r="22">
      <c r="F22" s="53"/>
      <c r="G22" s="53"/>
      <c r="N22" s="44"/>
      <c r="O22" s="43"/>
      <c r="P22" s="44"/>
    </row>
    <row r="23">
      <c r="F23" s="53"/>
      <c r="G23" s="53"/>
      <c r="N23" s="43"/>
      <c r="O23" s="44"/>
      <c r="P23" s="43"/>
    </row>
    <row r="24">
      <c r="F24" s="53"/>
      <c r="G24" s="53"/>
      <c r="N24" s="44"/>
      <c r="O24" s="43"/>
      <c r="P24" s="44"/>
    </row>
    <row r="25">
      <c r="F25" s="53"/>
      <c r="G25" s="53"/>
      <c r="N25" s="43"/>
      <c r="O25" s="44"/>
      <c r="P25" s="43"/>
    </row>
    <row r="26">
      <c r="F26" s="53"/>
      <c r="G26" s="53"/>
      <c r="N26" s="44"/>
      <c r="O26" s="43"/>
      <c r="P26" s="44"/>
    </row>
    <row r="27">
      <c r="F27" s="53"/>
      <c r="G27" s="53"/>
      <c r="N27" s="43"/>
      <c r="O27" s="44"/>
      <c r="P27" s="43"/>
    </row>
    <row r="28">
      <c r="F28" s="53"/>
      <c r="G28" s="53"/>
      <c r="N28" s="44"/>
      <c r="O28" s="43"/>
      <c r="P28" s="44"/>
    </row>
    <row r="29">
      <c r="F29" s="53"/>
      <c r="G29" s="53"/>
      <c r="N29" s="43"/>
      <c r="O29" s="44"/>
      <c r="P29" s="43"/>
    </row>
    <row r="30">
      <c r="F30" s="53"/>
      <c r="G30" s="53"/>
      <c r="N30" s="44"/>
      <c r="O30" s="43"/>
      <c r="P30" s="44"/>
    </row>
    <row r="31">
      <c r="F31" s="53"/>
      <c r="G31" s="53"/>
      <c r="N31" s="43"/>
      <c r="O31" s="44"/>
      <c r="P31" s="43"/>
    </row>
    <row r="32">
      <c r="F32" s="53"/>
      <c r="G32" s="53"/>
      <c r="N32" s="44"/>
      <c r="O32" s="43"/>
      <c r="P32" s="44"/>
    </row>
    <row r="33">
      <c r="F33" s="53"/>
      <c r="G33" s="53"/>
      <c r="N33" s="43"/>
      <c r="O33" s="44"/>
      <c r="P33" s="43"/>
    </row>
    <row r="34">
      <c r="F34" s="53"/>
      <c r="G34" s="53"/>
      <c r="N34" s="44"/>
      <c r="O34" s="43"/>
      <c r="P34" s="44"/>
    </row>
    <row r="35">
      <c r="F35" s="53"/>
      <c r="G35" s="53"/>
      <c r="N35" s="43"/>
      <c r="O35" s="44"/>
      <c r="P35" s="43"/>
    </row>
    <row r="36">
      <c r="F36" s="53"/>
      <c r="G36" s="53"/>
      <c r="N36" s="44"/>
      <c r="O36" s="43"/>
      <c r="P36" s="44"/>
    </row>
    <row r="37">
      <c r="F37" s="53"/>
      <c r="G37" s="53"/>
      <c r="N37" s="43"/>
      <c r="O37" s="44"/>
      <c r="P37" s="43"/>
    </row>
    <row r="38">
      <c r="F38" s="53"/>
      <c r="G38" s="53"/>
      <c r="N38" s="44"/>
      <c r="O38" s="43"/>
      <c r="P38" s="44"/>
    </row>
    <row r="39">
      <c r="F39" s="53"/>
      <c r="G39" s="53"/>
      <c r="N39" s="43"/>
      <c r="O39" s="44"/>
      <c r="P39" s="43"/>
    </row>
    <row r="40">
      <c r="F40" s="53"/>
      <c r="G40" s="53"/>
      <c r="N40" s="44"/>
      <c r="O40" s="43"/>
      <c r="P40" s="44"/>
    </row>
    <row r="41">
      <c r="F41" s="53"/>
      <c r="G41" s="53"/>
      <c r="N41" s="43"/>
      <c r="O41" s="44"/>
      <c r="P41" s="43"/>
    </row>
    <row r="42">
      <c r="F42" s="53"/>
      <c r="G42" s="53"/>
      <c r="N42" s="44"/>
      <c r="O42" s="43"/>
      <c r="P42" s="44"/>
    </row>
    <row r="43">
      <c r="F43" s="53"/>
      <c r="G43" s="53"/>
      <c r="N43" s="43"/>
      <c r="O43" s="44"/>
      <c r="P43" s="43"/>
    </row>
    <row r="44">
      <c r="F44" s="53"/>
      <c r="G44" s="53"/>
      <c r="N44" s="44"/>
      <c r="O44" s="43"/>
      <c r="P44" s="44"/>
    </row>
    <row r="45">
      <c r="F45" s="53"/>
      <c r="G45" s="53"/>
      <c r="N45" s="43"/>
      <c r="O45" s="44"/>
      <c r="P45" s="43"/>
    </row>
    <row r="46">
      <c r="F46" s="53"/>
      <c r="G46" s="53"/>
    </row>
    <row r="47">
      <c r="F47" s="53"/>
      <c r="G47" s="53"/>
    </row>
    <row r="48">
      <c r="F48" s="53"/>
      <c r="G48" s="53"/>
    </row>
    <row r="49">
      <c r="F49" s="53"/>
      <c r="G49" s="53"/>
    </row>
    <row r="50">
      <c r="F50" s="53"/>
      <c r="G50" s="53"/>
    </row>
    <row r="51">
      <c r="F51" s="53"/>
      <c r="G51" s="53"/>
    </row>
    <row r="52">
      <c r="F52" s="53"/>
      <c r="G52" s="53"/>
    </row>
    <row r="53">
      <c r="F53" s="53"/>
      <c r="G53" s="53"/>
    </row>
    <row r="54">
      <c r="F54" s="53"/>
      <c r="G54" s="53"/>
    </row>
    <row r="55">
      <c r="F55" s="53"/>
      <c r="G55" s="53"/>
    </row>
    <row r="56">
      <c r="F56" s="53"/>
      <c r="G56" s="53"/>
    </row>
    <row r="57">
      <c r="F57" s="53"/>
      <c r="G57" s="53"/>
    </row>
    <row r="58">
      <c r="F58" s="53"/>
      <c r="G58" s="53"/>
    </row>
    <row r="59">
      <c r="F59" s="53"/>
      <c r="G59" s="53"/>
    </row>
    <row r="60">
      <c r="F60" s="53"/>
      <c r="G60" s="53"/>
    </row>
    <row r="61">
      <c r="F61" s="53"/>
      <c r="G61" s="53"/>
    </row>
    <row r="62">
      <c r="F62" s="53"/>
      <c r="G62" s="53"/>
    </row>
    <row r="63">
      <c r="F63" s="53"/>
      <c r="G63" s="53"/>
    </row>
    <row r="64">
      <c r="F64" s="53"/>
      <c r="G64" s="53"/>
    </row>
    <row r="65">
      <c r="F65" s="53"/>
      <c r="G65" s="53"/>
    </row>
    <row r="66">
      <c r="F66" s="53"/>
      <c r="G66" s="53"/>
    </row>
    <row r="67">
      <c r="F67" s="53"/>
      <c r="G67" s="53"/>
    </row>
    <row r="68">
      <c r="F68" s="53"/>
      <c r="G68" s="53"/>
    </row>
    <row r="69">
      <c r="F69" s="53"/>
      <c r="G69" s="53"/>
    </row>
    <row r="70">
      <c r="F70" s="53"/>
      <c r="G70" s="53"/>
    </row>
    <row r="71">
      <c r="F71" s="53"/>
      <c r="G71" s="53"/>
    </row>
    <row r="72">
      <c r="F72" s="53"/>
      <c r="G72" s="53"/>
    </row>
    <row r="73">
      <c r="F73" s="53"/>
      <c r="G73" s="53"/>
    </row>
    <row r="74">
      <c r="F74" s="53"/>
      <c r="G74" s="53"/>
    </row>
    <row r="75">
      <c r="F75" s="53"/>
      <c r="G75" s="53"/>
    </row>
    <row r="76">
      <c r="F76" s="53"/>
      <c r="G76" s="53"/>
    </row>
    <row r="77">
      <c r="F77" s="53"/>
      <c r="G77" s="53"/>
    </row>
    <row r="78">
      <c r="F78" s="53"/>
      <c r="G78" s="53"/>
    </row>
    <row r="79">
      <c r="F79" s="53"/>
      <c r="G79" s="53"/>
    </row>
    <row r="80">
      <c r="F80" s="53"/>
      <c r="G80" s="53"/>
    </row>
    <row r="81">
      <c r="F81" s="53"/>
      <c r="G81" s="53"/>
    </row>
    <row r="82">
      <c r="F82" s="53"/>
      <c r="G82" s="53"/>
    </row>
    <row r="83">
      <c r="F83" s="53"/>
      <c r="G83" s="53"/>
    </row>
    <row r="84">
      <c r="F84" s="53"/>
      <c r="G84" s="53"/>
    </row>
    <row r="85">
      <c r="F85" s="53"/>
      <c r="G85" s="53"/>
    </row>
    <row r="86">
      <c r="F86" s="53"/>
      <c r="G86" s="53"/>
    </row>
    <row r="87">
      <c r="F87" s="53"/>
      <c r="G87" s="53"/>
    </row>
    <row r="88">
      <c r="F88" s="53"/>
      <c r="G88" s="53"/>
    </row>
    <row r="89">
      <c r="F89" s="53"/>
      <c r="G89" s="53"/>
    </row>
    <row r="90">
      <c r="F90" s="53"/>
      <c r="G90" s="53"/>
    </row>
    <row r="91">
      <c r="F91" s="53"/>
      <c r="G91" s="53"/>
    </row>
    <row r="92">
      <c r="F92" s="53"/>
      <c r="G92" s="53"/>
    </row>
    <row r="93">
      <c r="F93" s="53"/>
      <c r="G93" s="53"/>
    </row>
    <row r="94">
      <c r="F94" s="53"/>
      <c r="G94" s="53"/>
    </row>
    <row r="95">
      <c r="F95" s="53"/>
      <c r="G95" s="53"/>
    </row>
    <row r="96">
      <c r="F96" s="53"/>
      <c r="G96" s="53"/>
    </row>
    <row r="97">
      <c r="F97" s="53"/>
      <c r="G97" s="53"/>
    </row>
    <row r="98">
      <c r="F98" s="53"/>
      <c r="G98" s="53"/>
    </row>
    <row r="99">
      <c r="F99" s="53"/>
      <c r="G99" s="53"/>
    </row>
    <row r="100">
      <c r="F100" s="53"/>
      <c r="G100" s="53"/>
    </row>
    <row r="101">
      <c r="F101" s="53"/>
      <c r="G101" s="53"/>
    </row>
    <row r="102">
      <c r="F102" s="53"/>
      <c r="G102" s="53"/>
    </row>
    <row r="103">
      <c r="F103" s="53"/>
      <c r="G103" s="53"/>
    </row>
    <row r="104">
      <c r="F104" s="53"/>
      <c r="G104" s="53"/>
    </row>
    <row r="105">
      <c r="F105" s="53"/>
      <c r="G105" s="53"/>
    </row>
    <row r="106">
      <c r="F106" s="53"/>
      <c r="G106" s="53"/>
    </row>
    <row r="107">
      <c r="F107" s="53"/>
      <c r="G107" s="53"/>
    </row>
    <row r="108">
      <c r="F108" s="53"/>
      <c r="G108" s="53"/>
    </row>
    <row r="109">
      <c r="F109" s="53"/>
      <c r="G109" s="53"/>
    </row>
    <row r="110">
      <c r="F110" s="53"/>
      <c r="G110" s="53"/>
    </row>
    <row r="111">
      <c r="F111" s="53"/>
      <c r="G111" s="53"/>
    </row>
    <row r="112">
      <c r="F112" s="53"/>
      <c r="G112" s="53"/>
    </row>
    <row r="113">
      <c r="F113" s="53"/>
      <c r="G113" s="53"/>
    </row>
    <row r="114">
      <c r="F114" s="53"/>
      <c r="G114" s="53"/>
    </row>
    <row r="115">
      <c r="F115" s="53"/>
      <c r="G115" s="53"/>
    </row>
    <row r="116">
      <c r="F116" s="53"/>
      <c r="G116" s="53"/>
    </row>
    <row r="117">
      <c r="F117" s="53"/>
      <c r="G117" s="53"/>
    </row>
    <row r="118">
      <c r="F118" s="53"/>
      <c r="G118" s="53"/>
    </row>
    <row r="119">
      <c r="F119" s="53"/>
      <c r="G119" s="53"/>
    </row>
    <row r="120">
      <c r="F120" s="53"/>
      <c r="G120" s="53"/>
    </row>
    <row r="121">
      <c r="F121" s="53"/>
      <c r="G121" s="53"/>
    </row>
    <row r="122">
      <c r="F122" s="53"/>
      <c r="G122" s="53"/>
    </row>
    <row r="123">
      <c r="F123" s="53"/>
      <c r="G123" s="53"/>
    </row>
    <row r="124">
      <c r="F124" s="53"/>
      <c r="G124" s="53"/>
    </row>
    <row r="125">
      <c r="F125" s="53"/>
      <c r="G125" s="53"/>
    </row>
    <row r="126">
      <c r="F126" s="53"/>
      <c r="G126" s="53"/>
    </row>
    <row r="127">
      <c r="F127" s="53"/>
      <c r="G127" s="53"/>
    </row>
    <row r="128">
      <c r="F128" s="53"/>
      <c r="G128" s="53"/>
    </row>
    <row r="129">
      <c r="F129" s="53"/>
      <c r="G129" s="53"/>
    </row>
    <row r="130">
      <c r="F130" s="53"/>
      <c r="G130" s="53"/>
    </row>
    <row r="131">
      <c r="F131" s="53"/>
      <c r="G131" s="53"/>
    </row>
    <row r="132">
      <c r="F132" s="53"/>
      <c r="G132" s="53"/>
    </row>
    <row r="133">
      <c r="F133" s="53"/>
      <c r="G133" s="53"/>
    </row>
    <row r="134">
      <c r="F134" s="53"/>
      <c r="G134" s="53"/>
    </row>
    <row r="135">
      <c r="F135" s="53"/>
      <c r="G135" s="53"/>
    </row>
    <row r="136">
      <c r="F136" s="53"/>
      <c r="G136" s="53"/>
    </row>
    <row r="137">
      <c r="F137" s="53"/>
      <c r="G137" s="53"/>
    </row>
    <row r="138">
      <c r="F138" s="53"/>
      <c r="G138" s="53"/>
    </row>
    <row r="139">
      <c r="F139" s="53"/>
      <c r="G139" s="53"/>
    </row>
  </sheetData>
  <mergeCells count="6">
    <mergeCell ref="A1:K1"/>
    <mergeCell ref="A2:B2"/>
    <mergeCell ref="C2:D2"/>
    <mergeCell ref="E2:H2"/>
    <mergeCell ref="I2:L2"/>
    <mergeCell ref="I10:K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9.25"/>
    <col customWidth="1" min="3" max="3" width="4.25"/>
    <col customWidth="1" min="4" max="5" width="4.5"/>
    <col customWidth="1" min="6" max="6" width="11.25"/>
    <col customWidth="1" min="7" max="7" width="38.63"/>
  </cols>
  <sheetData>
    <row r="1">
      <c r="A1" s="17" t="s">
        <v>132</v>
      </c>
      <c r="B1" s="17" t="s">
        <v>163</v>
      </c>
      <c r="C1" s="17" t="s">
        <v>164</v>
      </c>
      <c r="D1" s="17" t="s">
        <v>165</v>
      </c>
      <c r="E1" s="17" t="s">
        <v>166</v>
      </c>
      <c r="F1" s="17" t="s">
        <v>167</v>
      </c>
      <c r="G1" s="17" t="s">
        <v>168</v>
      </c>
    </row>
    <row r="2">
      <c r="A2" s="17" t="s">
        <v>169</v>
      </c>
      <c r="B2" s="59">
        <v>45985.0</v>
      </c>
      <c r="C2" s="17">
        <v>3.75</v>
      </c>
      <c r="D2" s="17">
        <v>0.0</v>
      </c>
      <c r="E2" s="17">
        <v>3.0</v>
      </c>
      <c r="F2" s="60">
        <v>100.0</v>
      </c>
      <c r="G2" s="61" t="s">
        <v>170</v>
      </c>
    </row>
    <row r="3">
      <c r="A3" s="17" t="s">
        <v>171</v>
      </c>
      <c r="B3" s="59">
        <v>45985.0</v>
      </c>
      <c r="C3" s="17">
        <v>4.0</v>
      </c>
      <c r="D3" s="17">
        <v>0.0</v>
      </c>
      <c r="E3" s="17">
        <v>0.5</v>
      </c>
      <c r="F3" s="60">
        <v>100.0</v>
      </c>
    </row>
    <row r="4">
      <c r="A4" s="17" t="s">
        <v>172</v>
      </c>
      <c r="B4" s="62">
        <v>45996.0</v>
      </c>
      <c r="C4" s="17">
        <v>2.0</v>
      </c>
      <c r="D4" s="17">
        <v>0.0</v>
      </c>
      <c r="E4" s="17">
        <v>5.0</v>
      </c>
      <c r="F4" s="60">
        <v>33.0</v>
      </c>
    </row>
    <row r="5">
      <c r="A5" s="17" t="s">
        <v>173</v>
      </c>
      <c r="B5" s="59">
        <v>45986.0</v>
      </c>
      <c r="C5" s="17">
        <v>3.5</v>
      </c>
      <c r="D5" s="17">
        <v>0.0</v>
      </c>
      <c r="E5" s="17">
        <v>1.0</v>
      </c>
      <c r="F5" s="60">
        <v>100.0</v>
      </c>
    </row>
    <row r="6">
      <c r="A6" s="17" t="s">
        <v>174</v>
      </c>
      <c r="B6" s="59">
        <v>45992.0</v>
      </c>
      <c r="C6" s="17">
        <v>4.0</v>
      </c>
      <c r="D6" s="17">
        <v>0.0</v>
      </c>
      <c r="E6" s="17">
        <v>1.0</v>
      </c>
      <c r="F6" s="60">
        <v>100.0</v>
      </c>
      <c r="G6" s="63"/>
    </row>
    <row r="7">
      <c r="A7" s="17" t="s">
        <v>175</v>
      </c>
      <c r="B7" s="64">
        <v>45993.0</v>
      </c>
      <c r="C7" s="17">
        <v>4.0</v>
      </c>
      <c r="D7" s="17">
        <v>0.0</v>
      </c>
      <c r="E7" s="17">
        <v>2.0</v>
      </c>
      <c r="F7" s="60">
        <v>100.0</v>
      </c>
      <c r="G7" s="63"/>
    </row>
    <row r="8">
      <c r="F8" s="60"/>
      <c r="G8" s="63"/>
    </row>
    <row r="9">
      <c r="F9" s="60"/>
      <c r="G9" s="63"/>
    </row>
    <row r="10">
      <c r="B10" s="65"/>
      <c r="F10" s="66"/>
      <c r="G10" s="63"/>
    </row>
    <row r="11">
      <c r="B11" s="65"/>
      <c r="F11" s="66"/>
      <c r="G11" s="63"/>
    </row>
    <row r="12">
      <c r="B12" s="65"/>
      <c r="F12" s="66"/>
      <c r="G12" s="63"/>
    </row>
    <row r="13">
      <c r="B13" s="65"/>
      <c r="F13" s="66"/>
      <c r="G13" s="63"/>
    </row>
    <row r="14">
      <c r="B14" s="65"/>
      <c r="F14" s="66">
        <f>E4*0.66</f>
        <v>3.3</v>
      </c>
      <c r="G14" s="63"/>
    </row>
    <row r="15">
      <c r="B15" s="65"/>
      <c r="F15" s="66"/>
      <c r="G15" s="63"/>
    </row>
    <row r="16">
      <c r="B16" s="65"/>
      <c r="F16" s="66"/>
      <c r="G16" s="63"/>
    </row>
    <row r="17">
      <c r="B17" s="65"/>
      <c r="F17" s="66"/>
      <c r="G17" s="63"/>
    </row>
    <row r="18">
      <c r="B18" s="65"/>
      <c r="F18" s="66"/>
      <c r="G18" s="63"/>
    </row>
    <row r="19">
      <c r="B19" s="65"/>
      <c r="F19" s="66"/>
      <c r="G19" s="63"/>
    </row>
    <row r="20">
      <c r="B20" s="65"/>
      <c r="F20" s="66"/>
      <c r="G20" s="63"/>
    </row>
    <row r="21">
      <c r="B21" s="65"/>
      <c r="F21" s="66"/>
      <c r="G21" s="63"/>
    </row>
    <row r="22">
      <c r="B22" s="65"/>
      <c r="F22" s="66"/>
      <c r="G22" s="63"/>
    </row>
    <row r="23">
      <c r="B23" s="65"/>
      <c r="F23" s="66"/>
      <c r="G23" s="63"/>
    </row>
    <row r="24">
      <c r="B24" s="65"/>
      <c r="F24" s="66"/>
      <c r="G24" s="63"/>
    </row>
    <row r="25">
      <c r="B25" s="65"/>
      <c r="F25" s="66"/>
      <c r="G25" s="63"/>
    </row>
    <row r="26">
      <c r="B26" s="65"/>
      <c r="F26" s="66"/>
      <c r="G26" s="63"/>
    </row>
    <row r="27">
      <c r="B27" s="65"/>
      <c r="F27" s="66"/>
      <c r="G27" s="63"/>
    </row>
    <row r="28">
      <c r="B28" s="65"/>
      <c r="F28" s="66"/>
      <c r="G28" s="63"/>
    </row>
    <row r="29">
      <c r="B29" s="65"/>
      <c r="F29" s="66"/>
      <c r="G29" s="63"/>
    </row>
    <row r="30">
      <c r="B30" s="65"/>
      <c r="F30" s="66"/>
      <c r="G30" s="63"/>
    </row>
    <row r="31">
      <c r="B31" s="65"/>
      <c r="F31" s="66"/>
      <c r="G31" s="63"/>
    </row>
    <row r="32">
      <c r="B32" s="65"/>
      <c r="F32" s="66"/>
      <c r="G32" s="63"/>
    </row>
    <row r="33">
      <c r="B33" s="65"/>
      <c r="F33" s="66"/>
      <c r="G33" s="63"/>
    </row>
    <row r="34">
      <c r="B34" s="65"/>
      <c r="F34" s="66"/>
      <c r="G34" s="63"/>
    </row>
    <row r="35">
      <c r="B35" s="65"/>
      <c r="F35" s="66"/>
      <c r="G35" s="63"/>
    </row>
    <row r="36">
      <c r="B36" s="65"/>
      <c r="F36" s="66"/>
      <c r="G36" s="63"/>
    </row>
    <row r="37">
      <c r="B37" s="65"/>
      <c r="F37" s="66"/>
      <c r="G37" s="63"/>
    </row>
    <row r="38">
      <c r="B38" s="65"/>
      <c r="F38" s="66"/>
      <c r="G38" s="63"/>
    </row>
    <row r="39">
      <c r="B39" s="65"/>
      <c r="F39" s="66"/>
      <c r="G39" s="63"/>
    </row>
    <row r="40">
      <c r="B40" s="65"/>
      <c r="F40" s="66"/>
      <c r="G40" s="63"/>
    </row>
    <row r="41">
      <c r="B41" s="65"/>
      <c r="F41" s="66"/>
      <c r="G41" s="63"/>
    </row>
    <row r="42">
      <c r="B42" s="65"/>
      <c r="F42" s="66"/>
      <c r="G42" s="63"/>
    </row>
    <row r="43">
      <c r="B43" s="65"/>
      <c r="F43" s="66"/>
      <c r="G43" s="63"/>
    </row>
    <row r="44">
      <c r="B44" s="65"/>
      <c r="F44" s="66"/>
      <c r="G44" s="63"/>
    </row>
    <row r="45">
      <c r="B45" s="65"/>
      <c r="F45" s="66"/>
      <c r="G45" s="63"/>
    </row>
    <row r="46">
      <c r="B46" s="65"/>
      <c r="F46" s="66"/>
      <c r="G46" s="63"/>
    </row>
    <row r="47">
      <c r="B47" s="65"/>
      <c r="F47" s="66"/>
      <c r="G47" s="63"/>
    </row>
    <row r="48">
      <c r="B48" s="65"/>
      <c r="F48" s="66"/>
      <c r="G48" s="63"/>
    </row>
    <row r="49">
      <c r="B49" s="65"/>
      <c r="F49" s="66"/>
      <c r="G49" s="63"/>
    </row>
    <row r="50">
      <c r="B50" s="65"/>
      <c r="F50" s="66"/>
      <c r="G50" s="63"/>
    </row>
    <row r="51">
      <c r="B51" s="65"/>
      <c r="F51" s="66"/>
      <c r="G51" s="63"/>
    </row>
    <row r="52">
      <c r="B52" s="65"/>
      <c r="F52" s="66"/>
      <c r="G52" s="63"/>
    </row>
    <row r="53">
      <c r="B53" s="65"/>
      <c r="F53" s="66"/>
      <c r="G53" s="63"/>
    </row>
    <row r="54">
      <c r="B54" s="65"/>
      <c r="F54" s="66"/>
      <c r="G54" s="63"/>
    </row>
    <row r="55">
      <c r="B55" s="65"/>
      <c r="F55" s="66"/>
      <c r="G55" s="63"/>
    </row>
    <row r="56">
      <c r="B56" s="65"/>
      <c r="F56" s="66"/>
      <c r="G56" s="63"/>
    </row>
    <row r="57">
      <c r="B57" s="65"/>
      <c r="F57" s="66"/>
      <c r="G57" s="63"/>
    </row>
    <row r="58">
      <c r="B58" s="65"/>
      <c r="F58" s="66"/>
      <c r="G58" s="63"/>
    </row>
    <row r="59">
      <c r="B59" s="65"/>
      <c r="F59" s="66"/>
      <c r="G59" s="63"/>
    </row>
    <row r="60">
      <c r="B60" s="65"/>
      <c r="F60" s="66"/>
      <c r="G60" s="63"/>
    </row>
    <row r="61">
      <c r="B61" s="65"/>
      <c r="F61" s="66"/>
      <c r="G61" s="63"/>
    </row>
    <row r="62">
      <c r="B62" s="65"/>
      <c r="F62" s="66"/>
      <c r="G62" s="63"/>
    </row>
    <row r="63">
      <c r="B63" s="65"/>
      <c r="F63" s="66"/>
      <c r="G63" s="63"/>
    </row>
    <row r="64">
      <c r="B64" s="65"/>
      <c r="F64" s="66"/>
      <c r="G64" s="63"/>
    </row>
    <row r="65">
      <c r="B65" s="65"/>
      <c r="F65" s="66"/>
      <c r="G65" s="63"/>
    </row>
    <row r="66">
      <c r="B66" s="65"/>
      <c r="F66" s="66"/>
      <c r="G66" s="63"/>
    </row>
    <row r="67">
      <c r="B67" s="65"/>
      <c r="F67" s="66"/>
      <c r="G67" s="63"/>
    </row>
    <row r="68">
      <c r="B68" s="65"/>
      <c r="F68" s="66"/>
      <c r="G68" s="63"/>
    </row>
    <row r="69">
      <c r="B69" s="65"/>
      <c r="F69" s="66"/>
      <c r="G69" s="63"/>
    </row>
    <row r="70">
      <c r="B70" s="65"/>
      <c r="F70" s="66"/>
      <c r="G70" s="63"/>
    </row>
    <row r="71">
      <c r="B71" s="65"/>
      <c r="F71" s="66"/>
      <c r="G71" s="63"/>
    </row>
    <row r="72">
      <c r="B72" s="65"/>
      <c r="F72" s="66"/>
      <c r="G72" s="63"/>
    </row>
    <row r="73">
      <c r="B73" s="65"/>
      <c r="F73" s="66"/>
      <c r="G73" s="63"/>
    </row>
    <row r="74">
      <c r="B74" s="65"/>
      <c r="F74" s="66"/>
      <c r="G74" s="63"/>
    </row>
    <row r="75">
      <c r="B75" s="65"/>
      <c r="F75" s="66"/>
      <c r="G75" s="63"/>
    </row>
    <row r="76">
      <c r="B76" s="65"/>
      <c r="F76" s="66"/>
      <c r="G76" s="63"/>
    </row>
    <row r="77">
      <c r="B77" s="65"/>
      <c r="F77" s="66"/>
      <c r="G77" s="63"/>
    </row>
    <row r="78">
      <c r="B78" s="65"/>
      <c r="F78" s="66"/>
      <c r="G78" s="63"/>
    </row>
    <row r="79">
      <c r="B79" s="65"/>
      <c r="F79" s="66"/>
      <c r="G79" s="63"/>
    </row>
    <row r="80">
      <c r="B80" s="65"/>
      <c r="F80" s="66"/>
      <c r="G80" s="63"/>
    </row>
    <row r="81">
      <c r="B81" s="65"/>
      <c r="F81" s="66"/>
      <c r="G81" s="63"/>
    </row>
    <row r="82">
      <c r="B82" s="65"/>
      <c r="F82" s="66"/>
      <c r="G82" s="63"/>
    </row>
    <row r="83">
      <c r="B83" s="65"/>
      <c r="F83" s="66"/>
      <c r="G83" s="63"/>
    </row>
    <row r="84">
      <c r="B84" s="65"/>
      <c r="F84" s="66"/>
      <c r="G84" s="63"/>
    </row>
    <row r="85">
      <c r="B85" s="65"/>
      <c r="F85" s="66"/>
      <c r="G85" s="63"/>
    </row>
    <row r="86">
      <c r="B86" s="65"/>
      <c r="F86" s="66"/>
      <c r="G86" s="63"/>
    </row>
    <row r="87">
      <c r="B87" s="65"/>
      <c r="F87" s="66"/>
      <c r="G87" s="63"/>
    </row>
    <row r="88">
      <c r="B88" s="65"/>
      <c r="F88" s="66"/>
      <c r="G88" s="63"/>
    </row>
    <row r="89">
      <c r="B89" s="65"/>
      <c r="F89" s="66"/>
      <c r="G89" s="63"/>
    </row>
    <row r="90">
      <c r="B90" s="65"/>
      <c r="F90" s="66"/>
      <c r="G90" s="63"/>
    </row>
    <row r="91">
      <c r="B91" s="65"/>
      <c r="F91" s="66"/>
      <c r="G91" s="63"/>
    </row>
    <row r="92">
      <c r="B92" s="65"/>
      <c r="F92" s="66"/>
      <c r="G92" s="63"/>
    </row>
    <row r="93">
      <c r="B93" s="65"/>
      <c r="F93" s="66"/>
      <c r="G93" s="63"/>
    </row>
    <row r="94">
      <c r="B94" s="65"/>
      <c r="F94" s="66"/>
      <c r="G94" s="63"/>
    </row>
    <row r="95">
      <c r="B95" s="65"/>
      <c r="F95" s="66"/>
      <c r="G95" s="63"/>
    </row>
    <row r="96">
      <c r="B96" s="65"/>
      <c r="F96" s="66"/>
      <c r="G96" s="63"/>
    </row>
    <row r="97">
      <c r="B97" s="65"/>
      <c r="F97" s="66"/>
      <c r="G97" s="63"/>
    </row>
    <row r="98">
      <c r="B98" s="65"/>
      <c r="F98" s="66"/>
      <c r="G98" s="63"/>
    </row>
    <row r="99">
      <c r="B99" s="65"/>
      <c r="F99" s="66"/>
      <c r="G99" s="63"/>
    </row>
    <row r="100">
      <c r="B100" s="65"/>
      <c r="F100" s="66"/>
      <c r="G100" s="63"/>
    </row>
    <row r="101">
      <c r="B101" s="65"/>
      <c r="F101" s="66"/>
      <c r="G101" s="63"/>
    </row>
    <row r="102">
      <c r="B102" s="65"/>
      <c r="F102" s="66"/>
      <c r="G102" s="63"/>
    </row>
    <row r="103">
      <c r="B103" s="65"/>
      <c r="F103" s="66"/>
      <c r="G103" s="63"/>
    </row>
    <row r="104">
      <c r="B104" s="65"/>
      <c r="F104" s="66"/>
      <c r="G104" s="63"/>
    </row>
    <row r="105">
      <c r="B105" s="65"/>
      <c r="F105" s="66"/>
      <c r="G105" s="63"/>
    </row>
    <row r="106">
      <c r="B106" s="65"/>
      <c r="F106" s="66"/>
      <c r="G106" s="63"/>
    </row>
    <row r="107">
      <c r="B107" s="65"/>
      <c r="F107" s="66"/>
      <c r="G107" s="63"/>
    </row>
    <row r="108">
      <c r="B108" s="65"/>
      <c r="F108" s="66"/>
      <c r="G108" s="63"/>
    </row>
    <row r="109">
      <c r="B109" s="65"/>
      <c r="F109" s="66"/>
      <c r="G109" s="63"/>
    </row>
    <row r="110">
      <c r="B110" s="65"/>
      <c r="F110" s="66"/>
      <c r="G110" s="63"/>
    </row>
    <row r="111">
      <c r="B111" s="65"/>
      <c r="F111" s="66"/>
      <c r="G111" s="63"/>
    </row>
    <row r="112">
      <c r="B112" s="65"/>
      <c r="F112" s="66"/>
      <c r="G112" s="63"/>
    </row>
    <row r="113">
      <c r="B113" s="65"/>
      <c r="F113" s="66"/>
      <c r="G113" s="63"/>
    </row>
    <row r="114">
      <c r="B114" s="65"/>
      <c r="F114" s="66"/>
      <c r="G114" s="63"/>
    </row>
    <row r="115">
      <c r="B115" s="65"/>
      <c r="F115" s="66"/>
      <c r="G115" s="63"/>
    </row>
    <row r="116">
      <c r="B116" s="65"/>
      <c r="F116" s="66"/>
      <c r="G116" s="63"/>
    </row>
    <row r="117">
      <c r="B117" s="65"/>
      <c r="F117" s="66"/>
      <c r="G117" s="63"/>
    </row>
    <row r="118">
      <c r="B118" s="65"/>
      <c r="F118" s="66"/>
      <c r="G118" s="63"/>
    </row>
    <row r="119">
      <c r="B119" s="65"/>
      <c r="F119" s="66"/>
      <c r="G119" s="63"/>
    </row>
    <row r="120">
      <c r="B120" s="65"/>
      <c r="F120" s="66"/>
      <c r="G120" s="63"/>
    </row>
    <row r="121">
      <c r="B121" s="65"/>
      <c r="F121" s="66"/>
      <c r="G121" s="63"/>
    </row>
    <row r="122">
      <c r="B122" s="65"/>
      <c r="F122" s="66"/>
      <c r="G122" s="63"/>
    </row>
    <row r="123">
      <c r="B123" s="65"/>
      <c r="F123" s="66"/>
      <c r="G123" s="63"/>
    </row>
    <row r="124">
      <c r="B124" s="65"/>
      <c r="F124" s="66"/>
      <c r="G124" s="63"/>
    </row>
    <row r="125">
      <c r="B125" s="65"/>
      <c r="F125" s="66"/>
      <c r="G125" s="63"/>
    </row>
    <row r="126">
      <c r="B126" s="65"/>
      <c r="F126" s="66"/>
      <c r="G126" s="63"/>
    </row>
    <row r="127">
      <c r="B127" s="65"/>
      <c r="F127" s="66"/>
      <c r="G127" s="63"/>
    </row>
    <row r="128">
      <c r="B128" s="65"/>
      <c r="F128" s="66"/>
      <c r="G128" s="63"/>
    </row>
    <row r="129">
      <c r="B129" s="65"/>
      <c r="F129" s="66"/>
      <c r="G129" s="63"/>
    </row>
    <row r="130">
      <c r="B130" s="65"/>
      <c r="F130" s="66"/>
      <c r="G130" s="63"/>
    </row>
    <row r="131">
      <c r="B131" s="65"/>
      <c r="F131" s="66"/>
      <c r="G131" s="63"/>
    </row>
    <row r="132">
      <c r="B132" s="65"/>
      <c r="F132" s="66"/>
      <c r="G132" s="63"/>
    </row>
    <row r="133">
      <c r="B133" s="65"/>
      <c r="F133" s="66"/>
      <c r="G133" s="63"/>
    </row>
    <row r="134">
      <c r="B134" s="65"/>
      <c r="F134" s="66"/>
      <c r="G134" s="63"/>
    </row>
    <row r="135">
      <c r="B135" s="65"/>
      <c r="F135" s="66"/>
      <c r="G135" s="63"/>
    </row>
    <row r="136">
      <c r="B136" s="65"/>
      <c r="F136" s="66"/>
      <c r="G136" s="63"/>
    </row>
    <row r="137">
      <c r="B137" s="65"/>
      <c r="F137" s="66"/>
      <c r="G137" s="63"/>
    </row>
    <row r="138">
      <c r="B138" s="65"/>
      <c r="F138" s="66"/>
      <c r="G138" s="63"/>
    </row>
    <row r="139">
      <c r="B139" s="65"/>
      <c r="F139" s="66"/>
      <c r="G139" s="63"/>
    </row>
    <row r="140">
      <c r="B140" s="65"/>
      <c r="F140" s="66"/>
      <c r="G140" s="63"/>
    </row>
    <row r="141">
      <c r="B141" s="65"/>
      <c r="F141" s="66"/>
      <c r="G141" s="63"/>
    </row>
    <row r="142">
      <c r="B142" s="65"/>
      <c r="F142" s="66"/>
      <c r="G142" s="63"/>
    </row>
    <row r="143">
      <c r="B143" s="65"/>
      <c r="F143" s="66"/>
      <c r="G143" s="63"/>
    </row>
    <row r="144">
      <c r="B144" s="65"/>
      <c r="F144" s="66"/>
      <c r="G144" s="63"/>
    </row>
    <row r="145">
      <c r="B145" s="65"/>
      <c r="F145" s="66"/>
      <c r="G145" s="63"/>
    </row>
    <row r="146">
      <c r="B146" s="65"/>
      <c r="F146" s="66"/>
      <c r="G146" s="63"/>
    </row>
    <row r="147">
      <c r="B147" s="65"/>
      <c r="F147" s="66"/>
      <c r="G147" s="63"/>
    </row>
    <row r="148">
      <c r="B148" s="65"/>
      <c r="F148" s="66"/>
      <c r="G148" s="63"/>
    </row>
    <row r="149">
      <c r="B149" s="65"/>
      <c r="F149" s="66"/>
      <c r="G149" s="63"/>
    </row>
    <row r="150">
      <c r="B150" s="65"/>
      <c r="F150" s="66"/>
      <c r="G150" s="63"/>
    </row>
    <row r="151">
      <c r="B151" s="65"/>
      <c r="F151" s="66"/>
      <c r="G151" s="63"/>
    </row>
    <row r="152">
      <c r="B152" s="65"/>
      <c r="F152" s="66"/>
      <c r="G152" s="63"/>
    </row>
    <row r="153">
      <c r="B153" s="65"/>
      <c r="F153" s="66"/>
      <c r="G153" s="63"/>
    </row>
    <row r="154">
      <c r="B154" s="65"/>
      <c r="F154" s="66"/>
      <c r="G154" s="63"/>
    </row>
    <row r="155">
      <c r="B155" s="65"/>
      <c r="F155" s="66"/>
      <c r="G155" s="63"/>
    </row>
    <row r="156">
      <c r="B156" s="65"/>
      <c r="F156" s="66"/>
      <c r="G156" s="63"/>
    </row>
    <row r="157">
      <c r="B157" s="65"/>
      <c r="F157" s="66"/>
      <c r="G157" s="63"/>
    </row>
    <row r="158">
      <c r="B158" s="65"/>
      <c r="F158" s="66"/>
      <c r="G158" s="63"/>
    </row>
    <row r="159">
      <c r="B159" s="65"/>
      <c r="F159" s="66"/>
      <c r="G159" s="63"/>
    </row>
    <row r="160">
      <c r="B160" s="65"/>
      <c r="F160" s="66"/>
      <c r="G160" s="63"/>
    </row>
    <row r="161">
      <c r="B161" s="65"/>
      <c r="F161" s="66"/>
      <c r="G161" s="63"/>
    </row>
    <row r="162">
      <c r="B162" s="65"/>
      <c r="F162" s="66"/>
      <c r="G162" s="63"/>
    </row>
    <row r="163">
      <c r="B163" s="65"/>
      <c r="F163" s="66"/>
      <c r="G163" s="63"/>
    </row>
    <row r="164">
      <c r="B164" s="65"/>
      <c r="F164" s="66"/>
      <c r="G164" s="63"/>
    </row>
    <row r="165">
      <c r="B165" s="65"/>
      <c r="F165" s="66"/>
      <c r="G165" s="63"/>
    </row>
    <row r="166">
      <c r="B166" s="65"/>
      <c r="F166" s="66"/>
      <c r="G166" s="63"/>
    </row>
    <row r="167">
      <c r="B167" s="65"/>
      <c r="F167" s="66"/>
      <c r="G167" s="63"/>
    </row>
    <row r="168">
      <c r="B168" s="65"/>
      <c r="F168" s="66"/>
      <c r="G168" s="63"/>
    </row>
    <row r="169">
      <c r="B169" s="65"/>
      <c r="F169" s="66"/>
      <c r="G169" s="63"/>
    </row>
    <row r="170">
      <c r="B170" s="65"/>
      <c r="F170" s="66"/>
      <c r="G170" s="63"/>
    </row>
    <row r="171">
      <c r="B171" s="65"/>
      <c r="F171" s="66"/>
      <c r="G171" s="63"/>
    </row>
    <row r="172">
      <c r="B172" s="65"/>
      <c r="F172" s="66"/>
      <c r="G172" s="63"/>
    </row>
    <row r="173">
      <c r="B173" s="65"/>
      <c r="F173" s="66"/>
      <c r="G173" s="63"/>
    </row>
    <row r="174">
      <c r="B174" s="65"/>
      <c r="F174" s="66"/>
      <c r="G174" s="63"/>
    </row>
    <row r="175">
      <c r="B175" s="65"/>
      <c r="F175" s="66"/>
      <c r="G175" s="63"/>
    </row>
    <row r="176">
      <c r="B176" s="65"/>
      <c r="F176" s="66"/>
      <c r="G176" s="63"/>
    </row>
    <row r="177">
      <c r="B177" s="65"/>
      <c r="F177" s="66"/>
      <c r="G177" s="63"/>
    </row>
    <row r="178">
      <c r="B178" s="65"/>
      <c r="F178" s="66"/>
      <c r="G178" s="63"/>
    </row>
    <row r="179">
      <c r="B179" s="65"/>
      <c r="F179" s="66"/>
      <c r="G179" s="63"/>
    </row>
    <row r="180">
      <c r="B180" s="65"/>
      <c r="F180" s="66"/>
      <c r="G180" s="63"/>
    </row>
    <row r="181">
      <c r="B181" s="65"/>
      <c r="F181" s="66"/>
      <c r="G181" s="63"/>
    </row>
    <row r="182">
      <c r="B182" s="65"/>
      <c r="F182" s="66"/>
      <c r="G182" s="63"/>
    </row>
    <row r="183">
      <c r="B183" s="65"/>
      <c r="F183" s="66"/>
      <c r="G183" s="63"/>
    </row>
    <row r="184">
      <c r="B184" s="65"/>
      <c r="F184" s="66"/>
      <c r="G184" s="63"/>
    </row>
    <row r="185">
      <c r="B185" s="65"/>
      <c r="F185" s="66"/>
      <c r="G185" s="63"/>
    </row>
    <row r="186">
      <c r="B186" s="65"/>
      <c r="F186" s="66"/>
      <c r="G186" s="63"/>
    </row>
    <row r="187">
      <c r="B187" s="65"/>
      <c r="F187" s="66"/>
      <c r="G187" s="63"/>
    </row>
    <row r="188">
      <c r="B188" s="65"/>
      <c r="F188" s="66"/>
      <c r="G188" s="63"/>
    </row>
    <row r="189">
      <c r="B189" s="65"/>
      <c r="F189" s="66"/>
      <c r="G189" s="63"/>
    </row>
    <row r="190">
      <c r="B190" s="65"/>
      <c r="F190" s="66"/>
      <c r="G190" s="63"/>
    </row>
    <row r="191">
      <c r="B191" s="65"/>
      <c r="F191" s="66"/>
      <c r="G191" s="63"/>
    </row>
    <row r="192">
      <c r="B192" s="65"/>
      <c r="F192" s="66"/>
      <c r="G192" s="63"/>
    </row>
    <row r="193">
      <c r="B193" s="65"/>
      <c r="F193" s="66"/>
      <c r="G193" s="63"/>
    </row>
    <row r="194">
      <c r="B194" s="65"/>
      <c r="F194" s="66"/>
      <c r="G194" s="63"/>
    </row>
    <row r="195">
      <c r="B195" s="65"/>
      <c r="F195" s="66"/>
      <c r="G195" s="63"/>
    </row>
    <row r="196">
      <c r="B196" s="65"/>
      <c r="F196" s="66"/>
      <c r="G196" s="63"/>
    </row>
    <row r="197">
      <c r="B197" s="65"/>
      <c r="F197" s="66"/>
      <c r="G197" s="63"/>
    </row>
    <row r="198">
      <c r="B198" s="65"/>
      <c r="F198" s="66"/>
      <c r="G198" s="63"/>
    </row>
    <row r="199">
      <c r="B199" s="65"/>
      <c r="F199" s="66"/>
      <c r="G199" s="63"/>
    </row>
    <row r="200">
      <c r="B200" s="65"/>
      <c r="F200" s="66"/>
      <c r="G200" s="63"/>
    </row>
    <row r="201">
      <c r="B201" s="65"/>
      <c r="F201" s="66"/>
      <c r="G201" s="63"/>
    </row>
    <row r="202">
      <c r="B202" s="65"/>
      <c r="F202" s="66"/>
      <c r="G202" s="63"/>
    </row>
    <row r="203">
      <c r="B203" s="65"/>
      <c r="F203" s="66"/>
      <c r="G203" s="63"/>
    </row>
    <row r="204">
      <c r="B204" s="65"/>
      <c r="F204" s="66"/>
      <c r="G204" s="63"/>
    </row>
    <row r="205">
      <c r="B205" s="65"/>
      <c r="F205" s="66"/>
      <c r="G205" s="63"/>
    </row>
    <row r="206">
      <c r="B206" s="65"/>
      <c r="F206" s="66"/>
      <c r="G206" s="63"/>
    </row>
    <row r="207">
      <c r="B207" s="65"/>
      <c r="F207" s="66"/>
      <c r="G207" s="63"/>
    </row>
    <row r="208">
      <c r="B208" s="65"/>
      <c r="F208" s="66"/>
      <c r="G208" s="63"/>
    </row>
    <row r="209">
      <c r="B209" s="65"/>
      <c r="F209" s="66"/>
      <c r="G209" s="63"/>
    </row>
    <row r="210">
      <c r="B210" s="65"/>
      <c r="F210" s="66"/>
      <c r="G210" s="63"/>
    </row>
    <row r="211">
      <c r="B211" s="65"/>
      <c r="F211" s="66"/>
      <c r="G211" s="63"/>
    </row>
    <row r="212">
      <c r="B212" s="65"/>
      <c r="F212" s="66"/>
      <c r="G212" s="63"/>
    </row>
    <row r="213">
      <c r="B213" s="65"/>
      <c r="F213" s="66"/>
      <c r="G213" s="63"/>
    </row>
    <row r="214">
      <c r="B214" s="65"/>
      <c r="F214" s="66"/>
      <c r="G214" s="63"/>
    </row>
    <row r="215">
      <c r="B215" s="65"/>
      <c r="F215" s="66"/>
      <c r="G215" s="63"/>
    </row>
    <row r="216">
      <c r="B216" s="65"/>
      <c r="F216" s="66"/>
      <c r="G216" s="63"/>
    </row>
    <row r="217">
      <c r="B217" s="65"/>
      <c r="F217" s="66"/>
      <c r="G217" s="63"/>
    </row>
    <row r="218">
      <c r="B218" s="65"/>
      <c r="F218" s="66"/>
      <c r="G218" s="63"/>
    </row>
    <row r="219">
      <c r="B219" s="65"/>
      <c r="F219" s="66"/>
      <c r="G219" s="63"/>
    </row>
    <row r="220">
      <c r="B220" s="65"/>
      <c r="F220" s="66"/>
      <c r="G220" s="63"/>
    </row>
    <row r="221">
      <c r="B221" s="65"/>
      <c r="F221" s="66"/>
      <c r="G221" s="63"/>
    </row>
    <row r="222">
      <c r="B222" s="65"/>
      <c r="F222" s="66"/>
      <c r="G222" s="63"/>
    </row>
    <row r="223">
      <c r="B223" s="65"/>
      <c r="F223" s="66"/>
      <c r="G223" s="63"/>
    </row>
    <row r="224">
      <c r="B224" s="65"/>
      <c r="F224" s="66"/>
      <c r="G224" s="63"/>
    </row>
    <row r="225">
      <c r="B225" s="65"/>
      <c r="F225" s="66"/>
      <c r="G225" s="63"/>
    </row>
    <row r="226">
      <c r="B226" s="65"/>
      <c r="F226" s="66"/>
      <c r="G226" s="63"/>
    </row>
    <row r="227">
      <c r="B227" s="65"/>
      <c r="F227" s="66"/>
      <c r="G227" s="63"/>
    </row>
    <row r="228">
      <c r="B228" s="65"/>
      <c r="F228" s="66"/>
      <c r="G228" s="63"/>
    </row>
    <row r="229">
      <c r="B229" s="65"/>
      <c r="F229" s="66"/>
      <c r="G229" s="63"/>
    </row>
    <row r="230">
      <c r="B230" s="65"/>
      <c r="F230" s="66"/>
      <c r="G230" s="63"/>
    </row>
    <row r="231">
      <c r="B231" s="65"/>
      <c r="F231" s="66"/>
      <c r="G231" s="63"/>
    </row>
    <row r="232">
      <c r="B232" s="65"/>
      <c r="F232" s="66"/>
      <c r="G232" s="63"/>
    </row>
    <row r="233">
      <c r="B233" s="65"/>
      <c r="F233" s="66"/>
      <c r="G233" s="63"/>
    </row>
    <row r="234">
      <c r="B234" s="65"/>
      <c r="F234" s="66"/>
      <c r="G234" s="63"/>
    </row>
    <row r="235">
      <c r="B235" s="65"/>
      <c r="F235" s="66"/>
      <c r="G235" s="63"/>
    </row>
    <row r="236">
      <c r="B236" s="65"/>
      <c r="F236" s="66"/>
      <c r="G236" s="63"/>
    </row>
    <row r="237">
      <c r="B237" s="65"/>
      <c r="F237" s="66"/>
      <c r="G237" s="63"/>
    </row>
    <row r="238">
      <c r="B238" s="65"/>
      <c r="F238" s="66"/>
      <c r="G238" s="63"/>
    </row>
    <row r="239">
      <c r="B239" s="65"/>
      <c r="F239" s="66"/>
      <c r="G239" s="63"/>
    </row>
    <row r="240">
      <c r="B240" s="65"/>
      <c r="F240" s="66"/>
      <c r="G240" s="63"/>
    </row>
    <row r="241">
      <c r="B241" s="65"/>
      <c r="F241" s="66"/>
      <c r="G241" s="63"/>
    </row>
    <row r="242">
      <c r="B242" s="65"/>
      <c r="F242" s="66"/>
      <c r="G242" s="63"/>
    </row>
    <row r="243">
      <c r="B243" s="65"/>
      <c r="F243" s="66"/>
      <c r="G243" s="63"/>
    </row>
    <row r="244">
      <c r="B244" s="65"/>
      <c r="F244" s="66"/>
      <c r="G244" s="63"/>
    </row>
    <row r="245">
      <c r="B245" s="65"/>
      <c r="F245" s="66"/>
      <c r="G245" s="63"/>
    </row>
    <row r="246">
      <c r="B246" s="65"/>
      <c r="F246" s="66"/>
      <c r="G246" s="63"/>
    </row>
    <row r="247">
      <c r="B247" s="65"/>
      <c r="F247" s="66"/>
      <c r="G247" s="63"/>
    </row>
    <row r="248">
      <c r="B248" s="65"/>
      <c r="F248" s="66"/>
      <c r="G248" s="63"/>
    </row>
    <row r="249">
      <c r="B249" s="65"/>
      <c r="F249" s="66"/>
      <c r="G249" s="63"/>
    </row>
    <row r="250">
      <c r="B250" s="65"/>
      <c r="F250" s="66"/>
      <c r="G250" s="63"/>
    </row>
    <row r="251">
      <c r="B251" s="65"/>
      <c r="F251" s="66"/>
      <c r="G251" s="63"/>
    </row>
    <row r="252">
      <c r="B252" s="65"/>
      <c r="F252" s="66"/>
      <c r="G252" s="63"/>
    </row>
    <row r="253">
      <c r="B253" s="65"/>
      <c r="F253" s="66"/>
      <c r="G253" s="63"/>
    </row>
    <row r="254">
      <c r="B254" s="65"/>
      <c r="F254" s="66"/>
      <c r="G254" s="63"/>
    </row>
    <row r="255">
      <c r="B255" s="65"/>
      <c r="F255" s="66"/>
      <c r="G255" s="63"/>
    </row>
    <row r="256">
      <c r="B256" s="65"/>
      <c r="F256" s="66"/>
      <c r="G256" s="63"/>
    </row>
    <row r="257">
      <c r="B257" s="65"/>
      <c r="F257" s="66"/>
      <c r="G257" s="63"/>
    </row>
    <row r="258">
      <c r="B258" s="65"/>
      <c r="F258" s="66"/>
      <c r="G258" s="63"/>
    </row>
    <row r="259">
      <c r="B259" s="65"/>
      <c r="F259" s="66"/>
      <c r="G259" s="63"/>
    </row>
    <row r="260">
      <c r="B260" s="65"/>
      <c r="F260" s="66"/>
      <c r="G260" s="63"/>
    </row>
    <row r="261">
      <c r="B261" s="65"/>
      <c r="F261" s="66"/>
      <c r="G261" s="63"/>
    </row>
    <row r="262">
      <c r="B262" s="65"/>
      <c r="F262" s="66"/>
      <c r="G262" s="63"/>
    </row>
    <row r="263">
      <c r="B263" s="65"/>
      <c r="F263" s="66"/>
      <c r="G263" s="63"/>
    </row>
    <row r="264">
      <c r="B264" s="65"/>
      <c r="F264" s="66"/>
      <c r="G264" s="63"/>
    </row>
    <row r="265">
      <c r="B265" s="65"/>
      <c r="F265" s="66"/>
      <c r="G265" s="63"/>
    </row>
    <row r="266">
      <c r="B266" s="65"/>
      <c r="F266" s="66"/>
      <c r="G266" s="63"/>
    </row>
    <row r="267">
      <c r="B267" s="65"/>
      <c r="F267" s="66"/>
      <c r="G267" s="63"/>
    </row>
    <row r="268">
      <c r="B268" s="65"/>
      <c r="F268" s="66"/>
      <c r="G268" s="63"/>
    </row>
    <row r="269">
      <c r="B269" s="65"/>
      <c r="F269" s="66"/>
      <c r="G269" s="63"/>
    </row>
    <row r="270">
      <c r="B270" s="65"/>
      <c r="F270" s="66"/>
      <c r="G270" s="63"/>
    </row>
    <row r="271">
      <c r="B271" s="65"/>
      <c r="F271" s="66"/>
      <c r="G271" s="63"/>
    </row>
    <row r="272">
      <c r="B272" s="65"/>
      <c r="F272" s="66"/>
      <c r="G272" s="63"/>
    </row>
    <row r="273">
      <c r="B273" s="65"/>
      <c r="F273" s="66"/>
      <c r="G273" s="63"/>
    </row>
    <row r="274">
      <c r="B274" s="65"/>
      <c r="F274" s="66"/>
      <c r="G274" s="63"/>
    </row>
    <row r="275">
      <c r="B275" s="65"/>
      <c r="F275" s="66"/>
      <c r="G275" s="63"/>
    </row>
    <row r="276">
      <c r="B276" s="65"/>
      <c r="F276" s="66"/>
      <c r="G276" s="63"/>
    </row>
    <row r="277">
      <c r="B277" s="65"/>
      <c r="F277" s="66"/>
      <c r="G277" s="63"/>
    </row>
    <row r="278">
      <c r="B278" s="65"/>
      <c r="F278" s="66"/>
      <c r="G278" s="63"/>
    </row>
    <row r="279">
      <c r="B279" s="65"/>
      <c r="F279" s="66"/>
      <c r="G279" s="63"/>
    </row>
    <row r="280">
      <c r="B280" s="65"/>
      <c r="F280" s="66"/>
      <c r="G280" s="63"/>
    </row>
    <row r="281">
      <c r="B281" s="65"/>
      <c r="F281" s="66"/>
      <c r="G281" s="63"/>
    </row>
    <row r="282">
      <c r="B282" s="65"/>
      <c r="F282" s="66"/>
      <c r="G282" s="63"/>
    </row>
    <row r="283">
      <c r="B283" s="65"/>
      <c r="F283" s="66"/>
      <c r="G283" s="63"/>
    </row>
    <row r="284">
      <c r="B284" s="65"/>
      <c r="F284" s="66"/>
      <c r="G284" s="63"/>
    </row>
    <row r="285">
      <c r="B285" s="65"/>
      <c r="F285" s="66"/>
      <c r="G285" s="63"/>
    </row>
    <row r="286">
      <c r="B286" s="65"/>
      <c r="F286" s="66"/>
      <c r="G286" s="63"/>
    </row>
    <row r="287">
      <c r="B287" s="65"/>
      <c r="F287" s="66"/>
      <c r="G287" s="63"/>
    </row>
    <row r="288">
      <c r="B288" s="65"/>
      <c r="F288" s="66"/>
      <c r="G288" s="63"/>
    </row>
    <row r="289">
      <c r="B289" s="65"/>
      <c r="F289" s="66"/>
      <c r="G289" s="63"/>
    </row>
    <row r="290">
      <c r="B290" s="65"/>
      <c r="F290" s="66"/>
      <c r="G290" s="63"/>
    </row>
    <row r="291">
      <c r="B291" s="65"/>
      <c r="F291" s="66"/>
      <c r="G291" s="63"/>
    </row>
    <row r="292">
      <c r="B292" s="65"/>
      <c r="F292" s="66"/>
      <c r="G292" s="63"/>
    </row>
    <row r="293">
      <c r="B293" s="65"/>
      <c r="F293" s="66"/>
      <c r="G293" s="63"/>
    </row>
    <row r="294">
      <c r="B294" s="65"/>
      <c r="F294" s="66"/>
      <c r="G294" s="63"/>
    </row>
    <row r="295">
      <c r="B295" s="65"/>
      <c r="F295" s="66"/>
      <c r="G295" s="63"/>
    </row>
    <row r="296">
      <c r="B296" s="65"/>
      <c r="F296" s="66"/>
      <c r="G296" s="63"/>
    </row>
    <row r="297">
      <c r="B297" s="65"/>
      <c r="F297" s="66"/>
      <c r="G297" s="63"/>
    </row>
    <row r="298">
      <c r="B298" s="65"/>
      <c r="F298" s="66"/>
      <c r="G298" s="63"/>
    </row>
    <row r="299">
      <c r="B299" s="65"/>
      <c r="F299" s="66"/>
      <c r="G299" s="63"/>
    </row>
    <row r="300">
      <c r="B300" s="65"/>
      <c r="F300" s="66"/>
      <c r="G300" s="63"/>
    </row>
    <row r="301">
      <c r="B301" s="65"/>
      <c r="F301" s="66"/>
      <c r="G301" s="63"/>
    </row>
    <row r="302">
      <c r="B302" s="65"/>
      <c r="F302" s="66"/>
      <c r="G302" s="63"/>
    </row>
    <row r="303">
      <c r="B303" s="65"/>
      <c r="F303" s="66"/>
      <c r="G303" s="63"/>
    </row>
    <row r="304">
      <c r="B304" s="65"/>
      <c r="F304" s="66"/>
      <c r="G304" s="63"/>
    </row>
    <row r="305">
      <c r="B305" s="65"/>
      <c r="F305" s="66"/>
      <c r="G305" s="63"/>
    </row>
    <row r="306">
      <c r="B306" s="65"/>
      <c r="F306" s="66"/>
      <c r="G306" s="63"/>
    </row>
    <row r="307">
      <c r="B307" s="65"/>
      <c r="F307" s="66"/>
      <c r="G307" s="63"/>
    </row>
    <row r="308">
      <c r="B308" s="65"/>
      <c r="F308" s="66"/>
      <c r="G308" s="63"/>
    </row>
    <row r="309">
      <c r="B309" s="65"/>
      <c r="F309" s="66"/>
      <c r="G309" s="63"/>
    </row>
    <row r="310">
      <c r="B310" s="65"/>
      <c r="F310" s="66"/>
      <c r="G310" s="63"/>
    </row>
    <row r="311">
      <c r="B311" s="65"/>
      <c r="F311" s="66"/>
      <c r="G311" s="63"/>
    </row>
    <row r="312">
      <c r="B312" s="65"/>
      <c r="F312" s="66"/>
      <c r="G312" s="63"/>
    </row>
    <row r="313">
      <c r="B313" s="65"/>
      <c r="F313" s="66"/>
      <c r="G313" s="63"/>
    </row>
    <row r="314">
      <c r="B314" s="65"/>
      <c r="F314" s="66"/>
      <c r="G314" s="63"/>
    </row>
    <row r="315">
      <c r="B315" s="65"/>
      <c r="F315" s="66"/>
      <c r="G315" s="63"/>
    </row>
    <row r="316">
      <c r="B316" s="65"/>
      <c r="F316" s="66"/>
      <c r="G316" s="63"/>
    </row>
    <row r="317">
      <c r="B317" s="65"/>
      <c r="F317" s="66"/>
      <c r="G317" s="63"/>
    </row>
    <row r="318">
      <c r="B318" s="65"/>
      <c r="F318" s="66"/>
      <c r="G318" s="63"/>
    </row>
    <row r="319">
      <c r="B319" s="65"/>
      <c r="F319" s="66"/>
      <c r="G319" s="63"/>
    </row>
    <row r="320">
      <c r="B320" s="65"/>
      <c r="F320" s="66"/>
      <c r="G320" s="63"/>
    </row>
    <row r="321">
      <c r="B321" s="65"/>
      <c r="F321" s="66"/>
      <c r="G321" s="63"/>
    </row>
    <row r="322">
      <c r="B322" s="65"/>
      <c r="F322" s="66"/>
      <c r="G322" s="63"/>
    </row>
    <row r="323">
      <c r="B323" s="65"/>
      <c r="F323" s="66"/>
      <c r="G323" s="63"/>
    </row>
    <row r="324">
      <c r="B324" s="65"/>
      <c r="F324" s="66"/>
      <c r="G324" s="63"/>
    </row>
    <row r="325">
      <c r="B325" s="65"/>
      <c r="F325" s="66"/>
      <c r="G325" s="63"/>
    </row>
    <row r="326">
      <c r="B326" s="65"/>
      <c r="F326" s="66"/>
      <c r="G326" s="63"/>
    </row>
    <row r="327">
      <c r="B327" s="65"/>
      <c r="F327" s="66"/>
      <c r="G327" s="63"/>
    </row>
    <row r="328">
      <c r="B328" s="65"/>
      <c r="F328" s="66"/>
      <c r="G328" s="63"/>
    </row>
    <row r="329">
      <c r="B329" s="65"/>
      <c r="F329" s="66"/>
      <c r="G329" s="63"/>
    </row>
    <row r="330">
      <c r="B330" s="65"/>
      <c r="F330" s="66"/>
      <c r="G330" s="63"/>
    </row>
    <row r="331">
      <c r="B331" s="65"/>
      <c r="F331" s="66"/>
      <c r="G331" s="63"/>
    </row>
    <row r="332">
      <c r="B332" s="65"/>
      <c r="F332" s="66"/>
      <c r="G332" s="63"/>
    </row>
    <row r="333">
      <c r="B333" s="65"/>
      <c r="F333" s="66"/>
      <c r="G333" s="63"/>
    </row>
    <row r="334">
      <c r="B334" s="65"/>
      <c r="F334" s="66"/>
      <c r="G334" s="63"/>
    </row>
    <row r="335">
      <c r="B335" s="65"/>
      <c r="F335" s="66"/>
      <c r="G335" s="63"/>
    </row>
    <row r="336">
      <c r="B336" s="65"/>
      <c r="F336" s="66"/>
      <c r="G336" s="63"/>
    </row>
    <row r="337">
      <c r="B337" s="65"/>
      <c r="F337" s="66"/>
      <c r="G337" s="63"/>
    </row>
    <row r="338">
      <c r="B338" s="65"/>
      <c r="F338" s="66"/>
      <c r="G338" s="63"/>
    </row>
    <row r="339">
      <c r="B339" s="65"/>
      <c r="F339" s="66"/>
      <c r="G339" s="63"/>
    </row>
    <row r="340">
      <c r="B340" s="65"/>
      <c r="F340" s="66"/>
      <c r="G340" s="63"/>
    </row>
    <row r="341">
      <c r="B341" s="65"/>
      <c r="F341" s="66"/>
      <c r="G341" s="63"/>
    </row>
    <row r="342">
      <c r="B342" s="65"/>
      <c r="F342" s="66"/>
      <c r="G342" s="63"/>
    </row>
    <row r="343">
      <c r="B343" s="65"/>
      <c r="F343" s="66"/>
      <c r="G343" s="63"/>
    </row>
    <row r="344">
      <c r="B344" s="65"/>
      <c r="F344" s="66"/>
      <c r="G344" s="63"/>
    </row>
    <row r="345">
      <c r="B345" s="65"/>
      <c r="F345" s="66"/>
      <c r="G345" s="63"/>
    </row>
    <row r="346">
      <c r="B346" s="65"/>
      <c r="F346" s="66"/>
      <c r="G346" s="63"/>
    </row>
    <row r="347">
      <c r="B347" s="65"/>
      <c r="F347" s="66"/>
      <c r="G347" s="63"/>
    </row>
    <row r="348">
      <c r="B348" s="65"/>
      <c r="F348" s="66"/>
      <c r="G348" s="63"/>
    </row>
    <row r="349">
      <c r="B349" s="65"/>
      <c r="F349" s="66"/>
      <c r="G349" s="63"/>
    </row>
    <row r="350">
      <c r="B350" s="65"/>
      <c r="F350" s="66"/>
      <c r="G350" s="63"/>
    </row>
    <row r="351">
      <c r="B351" s="65"/>
      <c r="F351" s="66"/>
      <c r="G351" s="63"/>
    </row>
    <row r="352">
      <c r="B352" s="65"/>
      <c r="F352" s="66"/>
      <c r="G352" s="63"/>
    </row>
    <row r="353">
      <c r="B353" s="65"/>
      <c r="F353" s="66"/>
      <c r="G353" s="63"/>
    </row>
    <row r="354">
      <c r="B354" s="65"/>
      <c r="F354" s="66"/>
      <c r="G354" s="63"/>
    </row>
    <row r="355">
      <c r="B355" s="65"/>
      <c r="F355" s="66"/>
      <c r="G355" s="63"/>
    </row>
    <row r="356">
      <c r="B356" s="65"/>
      <c r="F356" s="66"/>
      <c r="G356" s="63"/>
    </row>
    <row r="357">
      <c r="B357" s="65"/>
      <c r="F357" s="66"/>
      <c r="G357" s="63"/>
    </row>
    <row r="358">
      <c r="B358" s="65"/>
      <c r="F358" s="66"/>
      <c r="G358" s="63"/>
    </row>
    <row r="359">
      <c r="B359" s="65"/>
      <c r="F359" s="66"/>
      <c r="G359" s="63"/>
    </row>
    <row r="360">
      <c r="B360" s="65"/>
      <c r="F360" s="66"/>
      <c r="G360" s="63"/>
    </row>
    <row r="361">
      <c r="B361" s="65"/>
      <c r="F361" s="66"/>
      <c r="G361" s="63"/>
    </row>
    <row r="362">
      <c r="B362" s="65"/>
      <c r="F362" s="66"/>
      <c r="G362" s="63"/>
    </row>
    <row r="363">
      <c r="B363" s="65"/>
      <c r="F363" s="66"/>
      <c r="G363" s="63"/>
    </row>
    <row r="364">
      <c r="B364" s="65"/>
      <c r="F364" s="66"/>
      <c r="G364" s="63"/>
    </row>
    <row r="365">
      <c r="B365" s="65"/>
      <c r="F365" s="66"/>
      <c r="G365" s="63"/>
    </row>
    <row r="366">
      <c r="B366" s="65"/>
      <c r="F366" s="66"/>
      <c r="G366" s="63"/>
    </row>
    <row r="367">
      <c r="B367" s="65"/>
      <c r="F367" s="66"/>
      <c r="G367" s="63"/>
    </row>
    <row r="368">
      <c r="B368" s="65"/>
      <c r="F368" s="66"/>
      <c r="G368" s="63"/>
    </row>
    <row r="369">
      <c r="B369" s="65"/>
      <c r="F369" s="66"/>
      <c r="G369" s="63"/>
    </row>
    <row r="370">
      <c r="B370" s="65"/>
      <c r="F370" s="66"/>
      <c r="G370" s="63"/>
    </row>
    <row r="371">
      <c r="B371" s="65"/>
      <c r="F371" s="66"/>
      <c r="G371" s="63"/>
    </row>
    <row r="372">
      <c r="B372" s="65"/>
      <c r="F372" s="66"/>
      <c r="G372" s="63"/>
    </row>
    <row r="373">
      <c r="B373" s="65"/>
      <c r="F373" s="66"/>
      <c r="G373" s="63"/>
    </row>
    <row r="374">
      <c r="B374" s="65"/>
      <c r="F374" s="66"/>
      <c r="G374" s="63"/>
    </row>
    <row r="375">
      <c r="B375" s="65"/>
      <c r="F375" s="66"/>
      <c r="G375" s="63"/>
    </row>
    <row r="376">
      <c r="B376" s="65"/>
      <c r="F376" s="66"/>
      <c r="G376" s="63"/>
    </row>
    <row r="377">
      <c r="B377" s="65"/>
      <c r="F377" s="66"/>
      <c r="G377" s="63"/>
    </row>
    <row r="378">
      <c r="B378" s="65"/>
      <c r="F378" s="66"/>
      <c r="G378" s="63"/>
    </row>
    <row r="379">
      <c r="B379" s="65"/>
      <c r="F379" s="66"/>
      <c r="G379" s="63"/>
    </row>
    <row r="380">
      <c r="B380" s="65"/>
      <c r="F380" s="66"/>
      <c r="G380" s="63"/>
    </row>
    <row r="381">
      <c r="B381" s="65"/>
      <c r="F381" s="66"/>
      <c r="G381" s="63"/>
    </row>
    <row r="382">
      <c r="B382" s="65"/>
      <c r="F382" s="66"/>
      <c r="G382" s="63"/>
    </row>
    <row r="383">
      <c r="B383" s="65"/>
      <c r="F383" s="66"/>
      <c r="G383" s="63"/>
    </row>
    <row r="384">
      <c r="B384" s="65"/>
      <c r="F384" s="66"/>
      <c r="G384" s="63"/>
    </row>
    <row r="385">
      <c r="B385" s="65"/>
      <c r="F385" s="66"/>
      <c r="G385" s="63"/>
    </row>
    <row r="386">
      <c r="B386" s="65"/>
      <c r="F386" s="66"/>
      <c r="G386" s="63"/>
    </row>
    <row r="387">
      <c r="B387" s="65"/>
      <c r="F387" s="66"/>
      <c r="G387" s="63"/>
    </row>
    <row r="388">
      <c r="B388" s="65"/>
      <c r="F388" s="66"/>
      <c r="G388" s="63"/>
    </row>
    <row r="389">
      <c r="B389" s="65"/>
      <c r="F389" s="66"/>
      <c r="G389" s="63"/>
    </row>
    <row r="390">
      <c r="B390" s="65"/>
      <c r="F390" s="66"/>
      <c r="G390" s="63"/>
    </row>
    <row r="391">
      <c r="B391" s="65"/>
      <c r="F391" s="66"/>
      <c r="G391" s="63"/>
    </row>
    <row r="392">
      <c r="B392" s="65"/>
      <c r="F392" s="66"/>
      <c r="G392" s="63"/>
    </row>
    <row r="393">
      <c r="B393" s="65"/>
      <c r="F393" s="66"/>
      <c r="G393" s="63"/>
    </row>
    <row r="394">
      <c r="B394" s="65"/>
      <c r="F394" s="66"/>
      <c r="G394" s="63"/>
    </row>
    <row r="395">
      <c r="B395" s="65"/>
      <c r="F395" s="66"/>
      <c r="G395" s="63"/>
    </row>
    <row r="396">
      <c r="B396" s="65"/>
      <c r="F396" s="66"/>
      <c r="G396" s="63"/>
    </row>
    <row r="397">
      <c r="B397" s="65"/>
      <c r="F397" s="66"/>
      <c r="G397" s="63"/>
    </row>
    <row r="398">
      <c r="B398" s="65"/>
      <c r="F398" s="66"/>
      <c r="G398" s="63"/>
    </row>
    <row r="399">
      <c r="B399" s="65"/>
      <c r="F399" s="66"/>
      <c r="G399" s="63"/>
    </row>
    <row r="400">
      <c r="B400" s="65"/>
      <c r="F400" s="66"/>
      <c r="G400" s="63"/>
    </row>
    <row r="401">
      <c r="B401" s="65"/>
      <c r="F401" s="66"/>
      <c r="G401" s="63"/>
    </row>
    <row r="402">
      <c r="B402" s="65"/>
      <c r="F402" s="66"/>
      <c r="G402" s="63"/>
    </row>
    <row r="403">
      <c r="B403" s="65"/>
      <c r="F403" s="66"/>
      <c r="G403" s="63"/>
    </row>
    <row r="404">
      <c r="B404" s="65"/>
      <c r="F404" s="66"/>
      <c r="G404" s="63"/>
    </row>
    <row r="405">
      <c r="B405" s="65"/>
      <c r="F405" s="66"/>
      <c r="G405" s="63"/>
    </row>
    <row r="406">
      <c r="B406" s="65"/>
      <c r="F406" s="66"/>
      <c r="G406" s="63"/>
    </row>
    <row r="407">
      <c r="B407" s="65"/>
      <c r="F407" s="66"/>
      <c r="G407" s="63"/>
    </row>
    <row r="408">
      <c r="B408" s="65"/>
      <c r="F408" s="66"/>
      <c r="G408" s="63"/>
    </row>
    <row r="409">
      <c r="B409" s="65"/>
      <c r="F409" s="66"/>
      <c r="G409" s="63"/>
    </row>
    <row r="410">
      <c r="B410" s="65"/>
      <c r="F410" s="66"/>
      <c r="G410" s="63"/>
    </row>
    <row r="411">
      <c r="B411" s="65"/>
      <c r="F411" s="66"/>
      <c r="G411" s="63"/>
    </row>
    <row r="412">
      <c r="B412" s="65"/>
      <c r="F412" s="66"/>
      <c r="G412" s="63"/>
    </row>
    <row r="413">
      <c r="B413" s="65"/>
      <c r="F413" s="66"/>
      <c r="G413" s="63"/>
    </row>
    <row r="414">
      <c r="B414" s="65"/>
      <c r="F414" s="66"/>
      <c r="G414" s="63"/>
    </row>
    <row r="415">
      <c r="B415" s="65"/>
      <c r="F415" s="66"/>
      <c r="G415" s="63"/>
    </row>
    <row r="416">
      <c r="B416" s="65"/>
      <c r="F416" s="66"/>
      <c r="G416" s="63"/>
    </row>
    <row r="417">
      <c r="B417" s="65"/>
      <c r="F417" s="66"/>
      <c r="G417" s="63"/>
    </row>
    <row r="418">
      <c r="B418" s="65"/>
      <c r="F418" s="66"/>
      <c r="G418" s="63"/>
    </row>
    <row r="419">
      <c r="B419" s="65"/>
      <c r="F419" s="66"/>
      <c r="G419" s="63"/>
    </row>
    <row r="420">
      <c r="B420" s="65"/>
      <c r="F420" s="66"/>
      <c r="G420" s="63"/>
    </row>
    <row r="421">
      <c r="B421" s="65"/>
      <c r="F421" s="66"/>
      <c r="G421" s="63"/>
    </row>
    <row r="422">
      <c r="B422" s="65"/>
      <c r="F422" s="66"/>
      <c r="G422" s="63"/>
    </row>
    <row r="423">
      <c r="B423" s="65"/>
      <c r="F423" s="66"/>
      <c r="G423" s="63"/>
    </row>
    <row r="424">
      <c r="B424" s="65"/>
      <c r="F424" s="66"/>
      <c r="G424" s="63"/>
    </row>
    <row r="425">
      <c r="B425" s="65"/>
      <c r="F425" s="66"/>
      <c r="G425" s="63"/>
    </row>
    <row r="426">
      <c r="B426" s="65"/>
      <c r="F426" s="66"/>
      <c r="G426" s="63"/>
    </row>
    <row r="427">
      <c r="B427" s="65"/>
      <c r="F427" s="66"/>
      <c r="G427" s="63"/>
    </row>
    <row r="428">
      <c r="B428" s="65"/>
      <c r="F428" s="66"/>
      <c r="G428" s="63"/>
    </row>
    <row r="429">
      <c r="B429" s="65"/>
      <c r="F429" s="66"/>
      <c r="G429" s="63"/>
    </row>
    <row r="430">
      <c r="B430" s="65"/>
      <c r="F430" s="66"/>
      <c r="G430" s="63"/>
    </row>
    <row r="431">
      <c r="B431" s="65"/>
      <c r="F431" s="66"/>
      <c r="G431" s="63"/>
    </row>
    <row r="432">
      <c r="B432" s="65"/>
      <c r="F432" s="66"/>
      <c r="G432" s="63"/>
    </row>
    <row r="433">
      <c r="B433" s="65"/>
      <c r="F433" s="66"/>
      <c r="G433" s="63"/>
    </row>
    <row r="434">
      <c r="B434" s="65"/>
      <c r="F434" s="66"/>
      <c r="G434" s="63"/>
    </row>
    <row r="435">
      <c r="B435" s="65"/>
      <c r="F435" s="66"/>
      <c r="G435" s="63"/>
    </row>
    <row r="436">
      <c r="B436" s="65"/>
      <c r="F436" s="66"/>
      <c r="G436" s="63"/>
    </row>
    <row r="437">
      <c r="B437" s="65"/>
      <c r="F437" s="66"/>
      <c r="G437" s="63"/>
    </row>
    <row r="438">
      <c r="B438" s="65"/>
      <c r="F438" s="66"/>
      <c r="G438" s="63"/>
    </row>
    <row r="439">
      <c r="B439" s="65"/>
      <c r="F439" s="66"/>
      <c r="G439" s="63"/>
    </row>
    <row r="440">
      <c r="B440" s="65"/>
      <c r="F440" s="66"/>
      <c r="G440" s="63"/>
    </row>
    <row r="441">
      <c r="B441" s="65"/>
      <c r="F441" s="66"/>
      <c r="G441" s="63"/>
    </row>
    <row r="442">
      <c r="B442" s="65"/>
      <c r="F442" s="66"/>
      <c r="G442" s="63"/>
    </row>
    <row r="443">
      <c r="B443" s="65"/>
      <c r="F443" s="66"/>
      <c r="G443" s="63"/>
    </row>
    <row r="444">
      <c r="B444" s="65"/>
      <c r="F444" s="66"/>
      <c r="G444" s="63"/>
    </row>
    <row r="445">
      <c r="B445" s="65"/>
      <c r="F445" s="66"/>
      <c r="G445" s="63"/>
    </row>
    <row r="446">
      <c r="B446" s="65"/>
      <c r="F446" s="66"/>
      <c r="G446" s="63"/>
    </row>
    <row r="447">
      <c r="B447" s="65"/>
      <c r="F447" s="66"/>
      <c r="G447" s="63"/>
    </row>
    <row r="448">
      <c r="B448" s="65"/>
      <c r="F448" s="66"/>
      <c r="G448" s="63"/>
    </row>
    <row r="449">
      <c r="B449" s="65"/>
      <c r="F449" s="66"/>
      <c r="G449" s="63"/>
    </row>
    <row r="450">
      <c r="B450" s="65"/>
      <c r="F450" s="66"/>
      <c r="G450" s="63"/>
    </row>
    <row r="451">
      <c r="B451" s="65"/>
      <c r="F451" s="66"/>
      <c r="G451" s="63"/>
    </row>
    <row r="452">
      <c r="B452" s="65"/>
      <c r="F452" s="66"/>
      <c r="G452" s="63"/>
    </row>
    <row r="453">
      <c r="B453" s="65"/>
      <c r="F453" s="66"/>
      <c r="G453" s="63"/>
    </row>
    <row r="454">
      <c r="B454" s="65"/>
      <c r="F454" s="66"/>
      <c r="G454" s="63"/>
    </row>
    <row r="455">
      <c r="B455" s="65"/>
      <c r="F455" s="66"/>
      <c r="G455" s="63"/>
    </row>
    <row r="456">
      <c r="B456" s="65"/>
      <c r="F456" s="66"/>
      <c r="G456" s="63"/>
    </row>
    <row r="457">
      <c r="B457" s="65"/>
      <c r="F457" s="66"/>
      <c r="G457" s="63"/>
    </row>
    <row r="458">
      <c r="B458" s="65"/>
      <c r="F458" s="66"/>
      <c r="G458" s="63"/>
    </row>
    <row r="459">
      <c r="B459" s="65"/>
      <c r="F459" s="66"/>
      <c r="G459" s="63"/>
    </row>
    <row r="460">
      <c r="B460" s="65"/>
      <c r="F460" s="66"/>
      <c r="G460" s="63"/>
    </row>
    <row r="461">
      <c r="B461" s="65"/>
      <c r="F461" s="66"/>
      <c r="G461" s="63"/>
    </row>
    <row r="462">
      <c r="B462" s="65"/>
      <c r="F462" s="66"/>
      <c r="G462" s="63"/>
    </row>
    <row r="463">
      <c r="B463" s="65"/>
      <c r="F463" s="66"/>
      <c r="G463" s="63"/>
    </row>
    <row r="464">
      <c r="B464" s="65"/>
      <c r="F464" s="66"/>
      <c r="G464" s="63"/>
    </row>
    <row r="465">
      <c r="B465" s="65"/>
      <c r="F465" s="66"/>
      <c r="G465" s="63"/>
    </row>
    <row r="466">
      <c r="B466" s="65"/>
      <c r="F466" s="66"/>
      <c r="G466" s="63"/>
    </row>
    <row r="467">
      <c r="B467" s="65"/>
      <c r="F467" s="66"/>
      <c r="G467" s="63"/>
    </row>
    <row r="468">
      <c r="B468" s="65"/>
      <c r="F468" s="66"/>
      <c r="G468" s="63"/>
    </row>
    <row r="469">
      <c r="B469" s="65"/>
      <c r="F469" s="66"/>
      <c r="G469" s="63"/>
    </row>
    <row r="470">
      <c r="B470" s="65"/>
      <c r="F470" s="66"/>
      <c r="G470" s="63"/>
    </row>
    <row r="471">
      <c r="B471" s="65"/>
      <c r="F471" s="66"/>
      <c r="G471" s="63"/>
    </row>
    <row r="472">
      <c r="B472" s="65"/>
      <c r="F472" s="66"/>
      <c r="G472" s="63"/>
    </row>
    <row r="473">
      <c r="B473" s="65"/>
      <c r="F473" s="66"/>
      <c r="G473" s="63"/>
    </row>
    <row r="474">
      <c r="B474" s="65"/>
      <c r="F474" s="66"/>
      <c r="G474" s="63"/>
    </row>
    <row r="475">
      <c r="B475" s="65"/>
      <c r="F475" s="66"/>
      <c r="G475" s="63"/>
    </row>
    <row r="476">
      <c r="B476" s="65"/>
      <c r="F476" s="66"/>
      <c r="G476" s="63"/>
    </row>
    <row r="477">
      <c r="B477" s="65"/>
      <c r="F477" s="66"/>
      <c r="G477" s="63"/>
    </row>
    <row r="478">
      <c r="B478" s="65"/>
      <c r="F478" s="66"/>
      <c r="G478" s="63"/>
    </row>
    <row r="479">
      <c r="B479" s="65"/>
      <c r="F479" s="66"/>
      <c r="G479" s="63"/>
    </row>
    <row r="480">
      <c r="B480" s="65"/>
      <c r="F480" s="66"/>
      <c r="G480" s="63"/>
    </row>
    <row r="481">
      <c r="B481" s="65"/>
      <c r="F481" s="66"/>
      <c r="G481" s="63"/>
    </row>
    <row r="482">
      <c r="B482" s="65"/>
      <c r="F482" s="66"/>
      <c r="G482" s="63"/>
    </row>
    <row r="483">
      <c r="B483" s="65"/>
      <c r="F483" s="66"/>
      <c r="G483" s="63"/>
    </row>
    <row r="484">
      <c r="B484" s="65"/>
      <c r="F484" s="66"/>
      <c r="G484" s="63"/>
    </row>
    <row r="485">
      <c r="B485" s="65"/>
      <c r="F485" s="66"/>
      <c r="G485" s="63"/>
    </row>
    <row r="486">
      <c r="B486" s="65"/>
      <c r="F486" s="66"/>
      <c r="G486" s="63"/>
    </row>
    <row r="487">
      <c r="B487" s="65"/>
      <c r="F487" s="66"/>
      <c r="G487" s="63"/>
    </row>
    <row r="488">
      <c r="B488" s="65"/>
      <c r="F488" s="66"/>
      <c r="G488" s="63"/>
    </row>
    <row r="489">
      <c r="B489" s="65"/>
      <c r="F489" s="66"/>
      <c r="G489" s="63"/>
    </row>
    <row r="490">
      <c r="B490" s="65"/>
      <c r="F490" s="66"/>
      <c r="G490" s="63"/>
    </row>
    <row r="491">
      <c r="B491" s="65"/>
      <c r="F491" s="66"/>
      <c r="G491" s="63"/>
    </row>
    <row r="492">
      <c r="B492" s="65"/>
      <c r="F492" s="66"/>
      <c r="G492" s="63"/>
    </row>
    <row r="493">
      <c r="B493" s="65"/>
      <c r="F493" s="66"/>
      <c r="G493" s="63"/>
    </row>
    <row r="494">
      <c r="B494" s="65"/>
      <c r="F494" s="66"/>
      <c r="G494" s="63"/>
    </row>
    <row r="495">
      <c r="B495" s="65"/>
      <c r="F495" s="66"/>
      <c r="G495" s="63"/>
    </row>
    <row r="496">
      <c r="B496" s="65"/>
      <c r="F496" s="66"/>
      <c r="G496" s="63"/>
    </row>
    <row r="497">
      <c r="B497" s="65"/>
      <c r="F497" s="66"/>
      <c r="G497" s="63"/>
    </row>
    <row r="498">
      <c r="B498" s="65"/>
      <c r="F498" s="66"/>
      <c r="G498" s="63"/>
    </row>
    <row r="499">
      <c r="B499" s="65"/>
      <c r="F499" s="66"/>
      <c r="G499" s="63"/>
    </row>
    <row r="500">
      <c r="B500" s="65"/>
      <c r="F500" s="66"/>
      <c r="G500" s="63"/>
    </row>
    <row r="501">
      <c r="B501" s="65"/>
      <c r="F501" s="66"/>
      <c r="G501" s="63"/>
    </row>
    <row r="502">
      <c r="B502" s="65"/>
      <c r="F502" s="66"/>
      <c r="G502" s="63"/>
    </row>
    <row r="503">
      <c r="B503" s="65"/>
      <c r="F503" s="66"/>
      <c r="G503" s="63"/>
    </row>
    <row r="504">
      <c r="B504" s="65"/>
      <c r="F504" s="66"/>
      <c r="G504" s="63"/>
    </row>
    <row r="505">
      <c r="B505" s="65"/>
      <c r="F505" s="66"/>
      <c r="G505" s="63"/>
    </row>
    <row r="506">
      <c r="B506" s="65"/>
      <c r="F506" s="66"/>
      <c r="G506" s="63"/>
    </row>
    <row r="507">
      <c r="B507" s="65"/>
      <c r="F507" s="66"/>
      <c r="G507" s="63"/>
    </row>
    <row r="508">
      <c r="B508" s="65"/>
      <c r="F508" s="66"/>
      <c r="G508" s="63"/>
    </row>
    <row r="509">
      <c r="B509" s="65"/>
      <c r="F509" s="66"/>
      <c r="G509" s="63"/>
    </row>
    <row r="510">
      <c r="B510" s="65"/>
      <c r="F510" s="66"/>
      <c r="G510" s="63"/>
    </row>
    <row r="511">
      <c r="B511" s="65"/>
      <c r="F511" s="66"/>
      <c r="G511" s="63"/>
    </row>
    <row r="512">
      <c r="B512" s="65"/>
      <c r="F512" s="66"/>
      <c r="G512" s="63"/>
    </row>
    <row r="513">
      <c r="B513" s="65"/>
      <c r="F513" s="66"/>
      <c r="G513" s="63"/>
    </row>
    <row r="514">
      <c r="B514" s="65"/>
      <c r="F514" s="66"/>
      <c r="G514" s="63"/>
    </row>
    <row r="515">
      <c r="B515" s="65"/>
      <c r="F515" s="66"/>
      <c r="G515" s="63"/>
    </row>
    <row r="516">
      <c r="B516" s="65"/>
      <c r="F516" s="66"/>
      <c r="G516" s="63"/>
    </row>
    <row r="517">
      <c r="B517" s="65"/>
      <c r="F517" s="66"/>
      <c r="G517" s="63"/>
    </row>
    <row r="518">
      <c r="B518" s="65"/>
      <c r="F518" s="66"/>
      <c r="G518" s="63"/>
    </row>
    <row r="519">
      <c r="B519" s="65"/>
      <c r="F519" s="66"/>
      <c r="G519" s="63"/>
    </row>
    <row r="520">
      <c r="B520" s="65"/>
      <c r="F520" s="66"/>
      <c r="G520" s="63"/>
    </row>
    <row r="521">
      <c r="B521" s="65"/>
      <c r="F521" s="66"/>
      <c r="G521" s="63"/>
    </row>
    <row r="522">
      <c r="B522" s="65"/>
      <c r="F522" s="66"/>
      <c r="G522" s="63"/>
    </row>
    <row r="523">
      <c r="B523" s="65"/>
      <c r="F523" s="66"/>
      <c r="G523" s="63"/>
    </row>
    <row r="524">
      <c r="B524" s="65"/>
      <c r="F524" s="66"/>
      <c r="G524" s="63"/>
    </row>
    <row r="525">
      <c r="B525" s="65"/>
      <c r="F525" s="66"/>
      <c r="G525" s="63"/>
    </row>
    <row r="526">
      <c r="B526" s="65"/>
      <c r="F526" s="66"/>
      <c r="G526" s="63"/>
    </row>
    <row r="527">
      <c r="B527" s="65"/>
      <c r="F527" s="66"/>
      <c r="G527" s="63"/>
    </row>
    <row r="528">
      <c r="B528" s="65"/>
      <c r="F528" s="66"/>
      <c r="G528" s="63"/>
    </row>
    <row r="529">
      <c r="B529" s="65"/>
      <c r="F529" s="66"/>
      <c r="G529" s="63"/>
    </row>
    <row r="530">
      <c r="B530" s="65"/>
      <c r="F530" s="66"/>
      <c r="G530" s="63"/>
    </row>
    <row r="531">
      <c r="B531" s="65"/>
      <c r="F531" s="66"/>
      <c r="G531" s="63"/>
    </row>
    <row r="532">
      <c r="B532" s="65"/>
      <c r="F532" s="66"/>
      <c r="G532" s="63"/>
    </row>
    <row r="533">
      <c r="B533" s="65"/>
      <c r="F533" s="66"/>
      <c r="G533" s="63"/>
    </row>
    <row r="534">
      <c r="B534" s="65"/>
      <c r="F534" s="66"/>
      <c r="G534" s="63"/>
    </row>
    <row r="535">
      <c r="B535" s="65"/>
      <c r="F535" s="66"/>
      <c r="G535" s="63"/>
    </row>
    <row r="536">
      <c r="B536" s="65"/>
      <c r="F536" s="66"/>
      <c r="G536" s="63"/>
    </row>
    <row r="537">
      <c r="B537" s="65"/>
      <c r="F537" s="66"/>
      <c r="G537" s="63"/>
    </row>
    <row r="538">
      <c r="B538" s="65"/>
      <c r="F538" s="66"/>
      <c r="G538" s="63"/>
    </row>
    <row r="539">
      <c r="B539" s="65"/>
      <c r="F539" s="66"/>
      <c r="G539" s="63"/>
    </row>
    <row r="540">
      <c r="B540" s="65"/>
      <c r="F540" s="66"/>
      <c r="G540" s="63"/>
    </row>
    <row r="541">
      <c r="B541" s="65"/>
      <c r="F541" s="66"/>
      <c r="G541" s="63"/>
    </row>
    <row r="542">
      <c r="B542" s="65"/>
      <c r="F542" s="66"/>
      <c r="G542" s="63"/>
    </row>
    <row r="543">
      <c r="B543" s="65"/>
      <c r="F543" s="66"/>
      <c r="G543" s="63"/>
    </row>
    <row r="544">
      <c r="B544" s="65"/>
      <c r="F544" s="66"/>
      <c r="G544" s="63"/>
    </row>
    <row r="545">
      <c r="B545" s="65"/>
      <c r="F545" s="66"/>
      <c r="G545" s="63"/>
    </row>
    <row r="546">
      <c r="B546" s="65"/>
      <c r="F546" s="66"/>
      <c r="G546" s="63"/>
    </row>
    <row r="547">
      <c r="B547" s="65"/>
      <c r="F547" s="66"/>
      <c r="G547" s="63"/>
    </row>
    <row r="548">
      <c r="B548" s="65"/>
      <c r="F548" s="66"/>
      <c r="G548" s="63"/>
    </row>
    <row r="549">
      <c r="B549" s="65"/>
      <c r="F549" s="66"/>
      <c r="G549" s="63"/>
    </row>
    <row r="550">
      <c r="B550" s="65"/>
      <c r="F550" s="66"/>
      <c r="G550" s="63"/>
    </row>
    <row r="551">
      <c r="B551" s="65"/>
      <c r="F551" s="66"/>
      <c r="G551" s="63"/>
    </row>
    <row r="552">
      <c r="B552" s="65"/>
      <c r="F552" s="66"/>
      <c r="G552" s="63"/>
    </row>
    <row r="553">
      <c r="B553" s="65"/>
      <c r="F553" s="66"/>
      <c r="G553" s="63"/>
    </row>
    <row r="554">
      <c r="B554" s="65"/>
      <c r="F554" s="66"/>
      <c r="G554" s="63"/>
    </row>
    <row r="555">
      <c r="B555" s="65"/>
      <c r="F555" s="66"/>
      <c r="G555" s="63"/>
    </row>
    <row r="556">
      <c r="B556" s="65"/>
      <c r="F556" s="66"/>
      <c r="G556" s="63"/>
    </row>
    <row r="557">
      <c r="B557" s="65"/>
      <c r="F557" s="66"/>
      <c r="G557" s="63"/>
    </row>
    <row r="558">
      <c r="B558" s="65"/>
      <c r="F558" s="66"/>
      <c r="G558" s="63"/>
    </row>
    <row r="559">
      <c r="B559" s="65"/>
      <c r="F559" s="66"/>
      <c r="G559" s="63"/>
    </row>
    <row r="560">
      <c r="B560" s="65"/>
      <c r="F560" s="66"/>
      <c r="G560" s="63"/>
    </row>
    <row r="561">
      <c r="B561" s="65"/>
      <c r="F561" s="66"/>
      <c r="G561" s="63"/>
    </row>
    <row r="562">
      <c r="B562" s="65"/>
      <c r="F562" s="66"/>
      <c r="G562" s="63"/>
    </row>
    <row r="563">
      <c r="B563" s="65"/>
      <c r="F563" s="66"/>
      <c r="G563" s="63"/>
    </row>
    <row r="564">
      <c r="B564" s="65"/>
      <c r="F564" s="66"/>
      <c r="G564" s="63"/>
    </row>
    <row r="565">
      <c r="B565" s="65"/>
      <c r="F565" s="66"/>
      <c r="G565" s="63"/>
    </row>
    <row r="566">
      <c r="B566" s="65"/>
      <c r="F566" s="66"/>
      <c r="G566" s="63"/>
    </row>
    <row r="567">
      <c r="B567" s="65"/>
      <c r="F567" s="66"/>
      <c r="G567" s="63"/>
    </row>
    <row r="568">
      <c r="B568" s="65"/>
      <c r="F568" s="66"/>
      <c r="G568" s="63"/>
    </row>
    <row r="569">
      <c r="B569" s="65"/>
      <c r="F569" s="66"/>
      <c r="G569" s="63"/>
    </row>
    <row r="570">
      <c r="B570" s="65"/>
      <c r="F570" s="66"/>
      <c r="G570" s="63"/>
    </row>
    <row r="571">
      <c r="B571" s="65"/>
      <c r="F571" s="66"/>
      <c r="G571" s="63"/>
    </row>
    <row r="572">
      <c r="B572" s="65"/>
      <c r="F572" s="66"/>
      <c r="G572" s="63"/>
    </row>
    <row r="573">
      <c r="B573" s="65"/>
      <c r="F573" s="66"/>
      <c r="G573" s="63"/>
    </row>
    <row r="574">
      <c r="B574" s="65"/>
      <c r="F574" s="66"/>
      <c r="G574" s="63"/>
    </row>
    <row r="575">
      <c r="B575" s="65"/>
      <c r="F575" s="66"/>
      <c r="G575" s="63"/>
    </row>
    <row r="576">
      <c r="B576" s="65"/>
      <c r="F576" s="66"/>
      <c r="G576" s="63"/>
    </row>
    <row r="577">
      <c r="B577" s="65"/>
      <c r="F577" s="66"/>
      <c r="G577" s="63"/>
    </row>
    <row r="578">
      <c r="B578" s="65"/>
      <c r="F578" s="66"/>
      <c r="G578" s="63"/>
    </row>
    <row r="579">
      <c r="B579" s="65"/>
      <c r="F579" s="66"/>
      <c r="G579" s="63"/>
    </row>
    <row r="580">
      <c r="B580" s="65"/>
      <c r="F580" s="66"/>
      <c r="G580" s="63"/>
    </row>
    <row r="581">
      <c r="B581" s="65"/>
      <c r="F581" s="66"/>
      <c r="G581" s="63"/>
    </row>
    <row r="582">
      <c r="B582" s="65"/>
      <c r="F582" s="66"/>
      <c r="G582" s="63"/>
    </row>
    <row r="583">
      <c r="B583" s="65"/>
      <c r="F583" s="66"/>
      <c r="G583" s="63"/>
    </row>
    <row r="584">
      <c r="B584" s="65"/>
      <c r="F584" s="66"/>
      <c r="G584" s="63"/>
    </row>
    <row r="585">
      <c r="B585" s="65"/>
      <c r="F585" s="66"/>
      <c r="G585" s="63"/>
    </row>
    <row r="586">
      <c r="B586" s="65"/>
      <c r="F586" s="66"/>
      <c r="G586" s="63"/>
    </row>
    <row r="587">
      <c r="B587" s="65"/>
      <c r="F587" s="66"/>
      <c r="G587" s="63"/>
    </row>
    <row r="588">
      <c r="B588" s="65"/>
      <c r="F588" s="66"/>
      <c r="G588" s="63"/>
    </row>
    <row r="589">
      <c r="B589" s="65"/>
      <c r="F589" s="66"/>
      <c r="G589" s="63"/>
    </row>
    <row r="590">
      <c r="B590" s="65"/>
      <c r="F590" s="66"/>
      <c r="G590" s="63"/>
    </row>
    <row r="591">
      <c r="B591" s="65"/>
      <c r="F591" s="66"/>
      <c r="G591" s="63"/>
    </row>
    <row r="592">
      <c r="B592" s="65"/>
      <c r="F592" s="66"/>
      <c r="G592" s="63"/>
    </row>
    <row r="593">
      <c r="B593" s="65"/>
      <c r="F593" s="66"/>
      <c r="G593" s="63"/>
    </row>
    <row r="594">
      <c r="B594" s="65"/>
      <c r="F594" s="66"/>
      <c r="G594" s="63"/>
    </row>
    <row r="595">
      <c r="B595" s="65"/>
      <c r="F595" s="66"/>
      <c r="G595" s="63"/>
    </row>
    <row r="596">
      <c r="B596" s="65"/>
      <c r="F596" s="66"/>
      <c r="G596" s="63"/>
    </row>
    <row r="597">
      <c r="B597" s="65"/>
      <c r="F597" s="66"/>
      <c r="G597" s="63"/>
    </row>
    <row r="598">
      <c r="B598" s="65"/>
      <c r="F598" s="66"/>
      <c r="G598" s="63"/>
    </row>
    <row r="599">
      <c r="B599" s="65"/>
      <c r="F599" s="66"/>
      <c r="G599" s="63"/>
    </row>
    <row r="600">
      <c r="B600" s="65"/>
      <c r="F600" s="66"/>
      <c r="G600" s="63"/>
    </row>
    <row r="601">
      <c r="B601" s="65"/>
      <c r="F601" s="66"/>
      <c r="G601" s="63"/>
    </row>
    <row r="602">
      <c r="B602" s="65"/>
      <c r="F602" s="66"/>
      <c r="G602" s="63"/>
    </row>
    <row r="603">
      <c r="B603" s="65"/>
      <c r="F603" s="66"/>
      <c r="G603" s="63"/>
    </row>
    <row r="604">
      <c r="B604" s="65"/>
      <c r="F604" s="66"/>
      <c r="G604" s="63"/>
    </row>
    <row r="605">
      <c r="B605" s="65"/>
      <c r="F605" s="66"/>
      <c r="G605" s="63"/>
    </row>
    <row r="606">
      <c r="B606" s="65"/>
      <c r="F606" s="66"/>
      <c r="G606" s="63"/>
    </row>
    <row r="607">
      <c r="B607" s="65"/>
      <c r="F607" s="66"/>
      <c r="G607" s="63"/>
    </row>
    <row r="608">
      <c r="B608" s="65"/>
      <c r="F608" s="66"/>
      <c r="G608" s="63"/>
    </row>
    <row r="609">
      <c r="B609" s="65"/>
      <c r="F609" s="66"/>
      <c r="G609" s="63"/>
    </row>
    <row r="610">
      <c r="B610" s="65"/>
      <c r="F610" s="66"/>
      <c r="G610" s="63"/>
    </row>
    <row r="611">
      <c r="B611" s="65"/>
      <c r="F611" s="66"/>
      <c r="G611" s="63"/>
    </row>
    <row r="612">
      <c r="B612" s="65"/>
      <c r="F612" s="66"/>
      <c r="G612" s="63"/>
    </row>
    <row r="613">
      <c r="B613" s="65"/>
      <c r="F613" s="66"/>
      <c r="G613" s="63"/>
    </row>
    <row r="614">
      <c r="B614" s="65"/>
      <c r="F614" s="66"/>
      <c r="G614" s="63"/>
    </row>
    <row r="615">
      <c r="B615" s="65"/>
      <c r="F615" s="66"/>
      <c r="G615" s="63"/>
    </row>
    <row r="616">
      <c r="B616" s="65"/>
      <c r="F616" s="66"/>
      <c r="G616" s="63"/>
    </row>
    <row r="617">
      <c r="B617" s="65"/>
      <c r="F617" s="66"/>
      <c r="G617" s="63"/>
    </row>
    <row r="618">
      <c r="B618" s="65"/>
      <c r="F618" s="66"/>
      <c r="G618" s="63"/>
    </row>
    <row r="619">
      <c r="B619" s="65"/>
      <c r="F619" s="66"/>
      <c r="G619" s="63"/>
    </row>
    <row r="620">
      <c r="B620" s="65"/>
      <c r="F620" s="66"/>
      <c r="G620" s="63"/>
    </row>
    <row r="621">
      <c r="B621" s="65"/>
      <c r="F621" s="66"/>
      <c r="G621" s="63"/>
    </row>
    <row r="622">
      <c r="B622" s="65"/>
      <c r="F622" s="66"/>
      <c r="G622" s="63"/>
    </row>
    <row r="623">
      <c r="B623" s="65"/>
      <c r="F623" s="66"/>
      <c r="G623" s="63"/>
    </row>
    <row r="624">
      <c r="B624" s="65"/>
      <c r="F624" s="66"/>
      <c r="G624" s="63"/>
    </row>
    <row r="625">
      <c r="B625" s="65"/>
      <c r="F625" s="66"/>
      <c r="G625" s="63"/>
    </row>
    <row r="626">
      <c r="B626" s="65"/>
      <c r="F626" s="66"/>
      <c r="G626" s="63"/>
    </row>
    <row r="627">
      <c r="B627" s="65"/>
      <c r="F627" s="66"/>
      <c r="G627" s="63"/>
    </row>
    <row r="628">
      <c r="B628" s="65"/>
      <c r="F628" s="66"/>
      <c r="G628" s="63"/>
    </row>
    <row r="629">
      <c r="B629" s="65"/>
      <c r="F629" s="66"/>
      <c r="G629" s="63"/>
    </row>
    <row r="630">
      <c r="B630" s="65"/>
      <c r="F630" s="66"/>
      <c r="G630" s="63"/>
    </row>
    <row r="631">
      <c r="B631" s="65"/>
      <c r="F631" s="66"/>
      <c r="G631" s="63"/>
    </row>
    <row r="632">
      <c r="B632" s="65"/>
      <c r="F632" s="66"/>
      <c r="G632" s="63"/>
    </row>
    <row r="633">
      <c r="B633" s="65"/>
      <c r="F633" s="66"/>
      <c r="G633" s="63"/>
    </row>
    <row r="634">
      <c r="B634" s="65"/>
      <c r="F634" s="66"/>
      <c r="G634" s="63"/>
    </row>
    <row r="635">
      <c r="B635" s="65"/>
      <c r="F635" s="66"/>
      <c r="G635" s="63"/>
    </row>
    <row r="636">
      <c r="B636" s="65"/>
      <c r="F636" s="66"/>
      <c r="G636" s="63"/>
    </row>
    <row r="637">
      <c r="B637" s="65"/>
      <c r="F637" s="66"/>
      <c r="G637" s="63"/>
    </row>
    <row r="638">
      <c r="B638" s="65"/>
      <c r="F638" s="66"/>
      <c r="G638" s="63"/>
    </row>
    <row r="639">
      <c r="B639" s="65"/>
      <c r="F639" s="66"/>
      <c r="G639" s="63"/>
    </row>
    <row r="640">
      <c r="B640" s="65"/>
      <c r="F640" s="66"/>
      <c r="G640" s="63"/>
    </row>
    <row r="641">
      <c r="B641" s="65"/>
      <c r="F641" s="66"/>
      <c r="G641" s="63"/>
    </row>
    <row r="642">
      <c r="B642" s="65"/>
      <c r="F642" s="66"/>
      <c r="G642" s="63"/>
    </row>
    <row r="643">
      <c r="B643" s="65"/>
      <c r="F643" s="66"/>
      <c r="G643" s="63"/>
    </row>
    <row r="644">
      <c r="B644" s="65"/>
      <c r="F644" s="66"/>
      <c r="G644" s="63"/>
    </row>
    <row r="645">
      <c r="B645" s="65"/>
      <c r="F645" s="66"/>
      <c r="G645" s="63"/>
    </row>
    <row r="646">
      <c r="B646" s="65"/>
      <c r="F646" s="66"/>
      <c r="G646" s="63"/>
    </row>
    <row r="647">
      <c r="B647" s="65"/>
      <c r="F647" s="66"/>
      <c r="G647" s="63"/>
    </row>
    <row r="648">
      <c r="B648" s="65"/>
      <c r="F648" s="66"/>
      <c r="G648" s="63"/>
    </row>
    <row r="649">
      <c r="B649" s="65"/>
      <c r="F649" s="66"/>
      <c r="G649" s="63"/>
    </row>
    <row r="650">
      <c r="B650" s="65"/>
      <c r="F650" s="66"/>
      <c r="G650" s="63"/>
    </row>
    <row r="651">
      <c r="B651" s="65"/>
      <c r="F651" s="66"/>
      <c r="G651" s="63"/>
    </row>
    <row r="652">
      <c r="B652" s="65"/>
      <c r="F652" s="66"/>
      <c r="G652" s="63"/>
    </row>
    <row r="653">
      <c r="B653" s="65"/>
      <c r="F653" s="66"/>
      <c r="G653" s="63"/>
    </row>
    <row r="654">
      <c r="B654" s="65"/>
      <c r="F654" s="66"/>
      <c r="G654" s="63"/>
    </row>
    <row r="655">
      <c r="B655" s="65"/>
      <c r="F655" s="66"/>
      <c r="G655" s="63"/>
    </row>
    <row r="656">
      <c r="B656" s="65"/>
      <c r="F656" s="66"/>
      <c r="G656" s="63"/>
    </row>
    <row r="657">
      <c r="B657" s="65"/>
      <c r="F657" s="66"/>
      <c r="G657" s="63"/>
    </row>
    <row r="658">
      <c r="B658" s="65"/>
      <c r="F658" s="66"/>
      <c r="G658" s="63"/>
    </row>
    <row r="659">
      <c r="B659" s="65"/>
      <c r="F659" s="66"/>
      <c r="G659" s="63"/>
    </row>
    <row r="660">
      <c r="B660" s="65"/>
      <c r="F660" s="66"/>
      <c r="G660" s="63"/>
    </row>
    <row r="661">
      <c r="B661" s="65"/>
      <c r="F661" s="66"/>
      <c r="G661" s="63"/>
    </row>
    <row r="662">
      <c r="B662" s="65"/>
      <c r="F662" s="66"/>
      <c r="G662" s="63"/>
    </row>
    <row r="663">
      <c r="B663" s="65"/>
      <c r="F663" s="66"/>
      <c r="G663" s="63"/>
    </row>
    <row r="664">
      <c r="B664" s="65"/>
      <c r="F664" s="66"/>
      <c r="G664" s="63"/>
    </row>
    <row r="665">
      <c r="B665" s="65"/>
      <c r="F665" s="66"/>
      <c r="G665" s="63"/>
    </row>
    <row r="666">
      <c r="B666" s="65"/>
      <c r="F666" s="66"/>
      <c r="G666" s="63"/>
    </row>
    <row r="667">
      <c r="B667" s="65"/>
      <c r="F667" s="66"/>
      <c r="G667" s="63"/>
    </row>
    <row r="668">
      <c r="B668" s="65"/>
      <c r="F668" s="66"/>
      <c r="G668" s="63"/>
    </row>
    <row r="669">
      <c r="B669" s="65"/>
      <c r="F669" s="66"/>
      <c r="G669" s="63"/>
    </row>
    <row r="670">
      <c r="B670" s="65"/>
      <c r="F670" s="66"/>
      <c r="G670" s="63"/>
    </row>
    <row r="671">
      <c r="B671" s="65"/>
      <c r="F671" s="66"/>
      <c r="G671" s="63"/>
    </row>
    <row r="672">
      <c r="B672" s="65"/>
      <c r="F672" s="66"/>
      <c r="G672" s="63"/>
    </row>
    <row r="673">
      <c r="B673" s="65"/>
      <c r="F673" s="66"/>
      <c r="G673" s="63"/>
    </row>
    <row r="674">
      <c r="B674" s="65"/>
      <c r="F674" s="66"/>
      <c r="G674" s="63"/>
    </row>
    <row r="675">
      <c r="B675" s="65"/>
      <c r="F675" s="66"/>
      <c r="G675" s="63"/>
    </row>
    <row r="676">
      <c r="B676" s="65"/>
      <c r="F676" s="66"/>
      <c r="G676" s="63"/>
    </row>
    <row r="677">
      <c r="B677" s="65"/>
      <c r="F677" s="66"/>
      <c r="G677" s="63"/>
    </row>
    <row r="678">
      <c r="B678" s="65"/>
      <c r="F678" s="66"/>
      <c r="G678" s="63"/>
    </row>
    <row r="679">
      <c r="B679" s="65"/>
      <c r="F679" s="66"/>
      <c r="G679" s="63"/>
    </row>
    <row r="680">
      <c r="B680" s="65"/>
      <c r="F680" s="66"/>
      <c r="G680" s="63"/>
    </row>
    <row r="681">
      <c r="B681" s="65"/>
      <c r="F681" s="66"/>
      <c r="G681" s="63"/>
    </row>
    <row r="682">
      <c r="B682" s="65"/>
      <c r="F682" s="66"/>
      <c r="G682" s="63"/>
    </row>
    <row r="683">
      <c r="B683" s="65"/>
      <c r="F683" s="66"/>
      <c r="G683" s="63"/>
    </row>
    <row r="684">
      <c r="B684" s="65"/>
      <c r="F684" s="66"/>
      <c r="G684" s="63"/>
    </row>
    <row r="685">
      <c r="B685" s="65"/>
      <c r="F685" s="66"/>
      <c r="G685" s="63"/>
    </row>
    <row r="686">
      <c r="B686" s="65"/>
      <c r="F686" s="66"/>
      <c r="G686" s="63"/>
    </row>
    <row r="687">
      <c r="B687" s="65"/>
      <c r="F687" s="66"/>
      <c r="G687" s="63"/>
    </row>
    <row r="688">
      <c r="B688" s="65"/>
      <c r="F688" s="66"/>
      <c r="G688" s="63"/>
    </row>
    <row r="689">
      <c r="B689" s="65"/>
      <c r="F689" s="66"/>
      <c r="G689" s="63"/>
    </row>
    <row r="690">
      <c r="B690" s="65"/>
      <c r="F690" s="66"/>
      <c r="G690" s="63"/>
    </row>
    <row r="691">
      <c r="B691" s="65"/>
      <c r="F691" s="66"/>
      <c r="G691" s="63"/>
    </row>
    <row r="692">
      <c r="B692" s="65"/>
      <c r="F692" s="66"/>
      <c r="G692" s="63"/>
    </row>
    <row r="693">
      <c r="B693" s="65"/>
      <c r="F693" s="66"/>
      <c r="G693" s="63"/>
    </row>
    <row r="694">
      <c r="B694" s="65"/>
      <c r="F694" s="66"/>
      <c r="G694" s="63"/>
    </row>
    <row r="695">
      <c r="B695" s="65"/>
      <c r="F695" s="66"/>
      <c r="G695" s="63"/>
    </row>
    <row r="696">
      <c r="B696" s="65"/>
      <c r="F696" s="66"/>
      <c r="G696" s="63"/>
    </row>
    <row r="697">
      <c r="B697" s="65"/>
      <c r="F697" s="66"/>
      <c r="G697" s="63"/>
    </row>
    <row r="698">
      <c r="B698" s="65"/>
      <c r="F698" s="66"/>
      <c r="G698" s="63"/>
    </row>
    <row r="699">
      <c r="B699" s="65"/>
      <c r="F699" s="66"/>
      <c r="G699" s="63"/>
    </row>
    <row r="700">
      <c r="B700" s="65"/>
      <c r="F700" s="66"/>
      <c r="G700" s="63"/>
    </row>
    <row r="701">
      <c r="B701" s="65"/>
      <c r="F701" s="66"/>
      <c r="G701" s="63"/>
    </row>
    <row r="702">
      <c r="B702" s="65"/>
      <c r="F702" s="66"/>
      <c r="G702" s="63"/>
    </row>
    <row r="703">
      <c r="B703" s="65"/>
      <c r="F703" s="66"/>
      <c r="G703" s="63"/>
    </row>
    <row r="704">
      <c r="B704" s="65"/>
      <c r="F704" s="66"/>
      <c r="G704" s="63"/>
    </row>
    <row r="705">
      <c r="B705" s="65"/>
      <c r="F705" s="66"/>
      <c r="G705" s="63"/>
    </row>
    <row r="706">
      <c r="B706" s="65"/>
      <c r="F706" s="66"/>
      <c r="G706" s="63"/>
    </row>
    <row r="707">
      <c r="B707" s="65"/>
      <c r="F707" s="66"/>
      <c r="G707" s="63"/>
    </row>
    <row r="708">
      <c r="B708" s="65"/>
      <c r="F708" s="66"/>
      <c r="G708" s="63"/>
    </row>
    <row r="709">
      <c r="B709" s="65"/>
      <c r="F709" s="66"/>
      <c r="G709" s="63"/>
    </row>
    <row r="710">
      <c r="B710" s="65"/>
      <c r="F710" s="66"/>
      <c r="G710" s="63"/>
    </row>
    <row r="711">
      <c r="B711" s="65"/>
      <c r="F711" s="66"/>
      <c r="G711" s="63"/>
    </row>
    <row r="712">
      <c r="B712" s="65"/>
      <c r="F712" s="66"/>
      <c r="G712" s="63"/>
    </row>
    <row r="713">
      <c r="B713" s="65"/>
      <c r="F713" s="66"/>
      <c r="G713" s="63"/>
    </row>
    <row r="714">
      <c r="B714" s="65"/>
      <c r="F714" s="66"/>
      <c r="G714" s="63"/>
    </row>
    <row r="715">
      <c r="B715" s="65"/>
      <c r="F715" s="66"/>
      <c r="G715" s="63"/>
    </row>
    <row r="716">
      <c r="B716" s="65"/>
      <c r="F716" s="66"/>
      <c r="G716" s="63"/>
    </row>
    <row r="717">
      <c r="B717" s="65"/>
      <c r="F717" s="66"/>
      <c r="G717" s="63"/>
    </row>
    <row r="718">
      <c r="B718" s="65"/>
      <c r="F718" s="66"/>
      <c r="G718" s="63"/>
    </row>
    <row r="719">
      <c r="B719" s="65"/>
      <c r="F719" s="66"/>
      <c r="G719" s="63"/>
    </row>
    <row r="720">
      <c r="B720" s="65"/>
      <c r="F720" s="66"/>
      <c r="G720" s="63"/>
    </row>
    <row r="721">
      <c r="B721" s="65"/>
      <c r="F721" s="66"/>
      <c r="G721" s="63"/>
    </row>
    <row r="722">
      <c r="B722" s="65"/>
      <c r="F722" s="66"/>
      <c r="G722" s="63"/>
    </row>
    <row r="723">
      <c r="B723" s="65"/>
      <c r="F723" s="66"/>
      <c r="G723" s="63"/>
    </row>
    <row r="724">
      <c r="B724" s="65"/>
      <c r="F724" s="66"/>
      <c r="G724" s="63"/>
    </row>
    <row r="725">
      <c r="B725" s="65"/>
      <c r="F725" s="66"/>
      <c r="G725" s="63"/>
    </row>
    <row r="726">
      <c r="B726" s="65"/>
      <c r="F726" s="66"/>
      <c r="G726" s="63"/>
    </row>
    <row r="727">
      <c r="B727" s="65"/>
      <c r="F727" s="66"/>
      <c r="G727" s="63"/>
    </row>
    <row r="728">
      <c r="B728" s="65"/>
      <c r="F728" s="66"/>
      <c r="G728" s="63"/>
    </row>
    <row r="729">
      <c r="B729" s="65"/>
      <c r="F729" s="66"/>
      <c r="G729" s="63"/>
    </row>
    <row r="730">
      <c r="B730" s="65"/>
      <c r="F730" s="66"/>
      <c r="G730" s="63"/>
    </row>
    <row r="731">
      <c r="B731" s="65"/>
      <c r="F731" s="66"/>
      <c r="G731" s="63"/>
    </row>
    <row r="732">
      <c r="B732" s="65"/>
      <c r="F732" s="66"/>
      <c r="G732" s="63"/>
    </row>
    <row r="733">
      <c r="B733" s="65"/>
      <c r="F733" s="66"/>
      <c r="G733" s="63"/>
    </row>
    <row r="734">
      <c r="B734" s="65"/>
      <c r="F734" s="66"/>
      <c r="G734" s="63"/>
    </row>
    <row r="735">
      <c r="B735" s="65"/>
      <c r="F735" s="66"/>
      <c r="G735" s="63"/>
    </row>
    <row r="736">
      <c r="B736" s="65"/>
      <c r="F736" s="66"/>
      <c r="G736" s="63"/>
    </row>
    <row r="737">
      <c r="B737" s="65"/>
      <c r="F737" s="66"/>
      <c r="G737" s="63"/>
    </row>
    <row r="738">
      <c r="B738" s="65"/>
      <c r="F738" s="66"/>
      <c r="G738" s="63"/>
    </row>
    <row r="739">
      <c r="B739" s="65"/>
      <c r="F739" s="66"/>
      <c r="G739" s="63"/>
    </row>
    <row r="740">
      <c r="B740" s="65"/>
      <c r="F740" s="66"/>
      <c r="G740" s="63"/>
    </row>
    <row r="741">
      <c r="B741" s="65"/>
      <c r="F741" s="66"/>
      <c r="G741" s="63"/>
    </row>
    <row r="742">
      <c r="B742" s="65"/>
      <c r="F742" s="66"/>
      <c r="G742" s="63"/>
    </row>
    <row r="743">
      <c r="B743" s="65"/>
      <c r="F743" s="66"/>
      <c r="G743" s="63"/>
    </row>
    <row r="744">
      <c r="B744" s="65"/>
      <c r="F744" s="66"/>
      <c r="G744" s="63"/>
    </row>
    <row r="745">
      <c r="B745" s="65"/>
      <c r="F745" s="66"/>
      <c r="G745" s="63"/>
    </row>
    <row r="746">
      <c r="B746" s="65"/>
      <c r="F746" s="66"/>
      <c r="G746" s="63"/>
    </row>
    <row r="747">
      <c r="B747" s="65"/>
      <c r="F747" s="66"/>
      <c r="G747" s="63"/>
    </row>
    <row r="748">
      <c r="B748" s="65"/>
      <c r="F748" s="66"/>
      <c r="G748" s="63"/>
    </row>
    <row r="749">
      <c r="B749" s="65"/>
      <c r="F749" s="66"/>
      <c r="G749" s="63"/>
    </row>
    <row r="750">
      <c r="B750" s="65"/>
      <c r="F750" s="66"/>
      <c r="G750" s="63"/>
    </row>
    <row r="751">
      <c r="B751" s="65"/>
      <c r="F751" s="66"/>
      <c r="G751" s="63"/>
    </row>
    <row r="752">
      <c r="B752" s="65"/>
      <c r="F752" s="66"/>
      <c r="G752" s="63"/>
    </row>
    <row r="753">
      <c r="B753" s="65"/>
      <c r="F753" s="66"/>
      <c r="G753" s="63"/>
    </row>
    <row r="754">
      <c r="B754" s="65"/>
      <c r="F754" s="66"/>
      <c r="G754" s="63"/>
    </row>
    <row r="755">
      <c r="B755" s="65"/>
      <c r="F755" s="66"/>
      <c r="G755" s="63"/>
    </row>
    <row r="756">
      <c r="B756" s="65"/>
      <c r="F756" s="66"/>
      <c r="G756" s="63"/>
    </row>
    <row r="757">
      <c r="B757" s="65"/>
      <c r="F757" s="66"/>
      <c r="G757" s="63"/>
    </row>
    <row r="758">
      <c r="B758" s="65"/>
      <c r="F758" s="66"/>
      <c r="G758" s="63"/>
    </row>
    <row r="759">
      <c r="B759" s="65"/>
      <c r="F759" s="66"/>
      <c r="G759" s="63"/>
    </row>
    <row r="760">
      <c r="B760" s="65"/>
      <c r="F760" s="66"/>
      <c r="G760" s="63"/>
    </row>
    <row r="761">
      <c r="B761" s="65"/>
      <c r="F761" s="66"/>
      <c r="G761" s="63"/>
    </row>
    <row r="762">
      <c r="B762" s="65"/>
      <c r="F762" s="66"/>
      <c r="G762" s="63"/>
    </row>
    <row r="763">
      <c r="B763" s="65"/>
      <c r="F763" s="66"/>
      <c r="G763" s="63"/>
    </row>
    <row r="764">
      <c r="B764" s="65"/>
      <c r="F764" s="66"/>
      <c r="G764" s="63"/>
    </row>
    <row r="765">
      <c r="B765" s="65"/>
      <c r="F765" s="66"/>
      <c r="G765" s="63"/>
    </row>
    <row r="766">
      <c r="B766" s="65"/>
      <c r="F766" s="66"/>
      <c r="G766" s="63"/>
    </row>
    <row r="767">
      <c r="B767" s="65"/>
      <c r="F767" s="66"/>
      <c r="G767" s="63"/>
    </row>
    <row r="768">
      <c r="B768" s="65"/>
      <c r="F768" s="66"/>
      <c r="G768" s="63"/>
    </row>
    <row r="769">
      <c r="B769" s="65"/>
      <c r="F769" s="66"/>
      <c r="G769" s="63"/>
    </row>
    <row r="770">
      <c r="B770" s="65"/>
      <c r="F770" s="66"/>
      <c r="G770" s="63"/>
    </row>
    <row r="771">
      <c r="B771" s="65"/>
      <c r="F771" s="66"/>
      <c r="G771" s="63"/>
    </row>
    <row r="772">
      <c r="B772" s="65"/>
      <c r="F772" s="66"/>
      <c r="G772" s="63"/>
    </row>
    <row r="773">
      <c r="B773" s="65"/>
      <c r="F773" s="66"/>
      <c r="G773" s="63"/>
    </row>
    <row r="774">
      <c r="B774" s="65"/>
      <c r="F774" s="66"/>
      <c r="G774" s="63"/>
    </row>
    <row r="775">
      <c r="B775" s="65"/>
      <c r="F775" s="66"/>
      <c r="G775" s="63"/>
    </row>
    <row r="776">
      <c r="B776" s="65"/>
      <c r="F776" s="66"/>
      <c r="G776" s="63"/>
    </row>
    <row r="777">
      <c r="B777" s="65"/>
      <c r="F777" s="66"/>
      <c r="G777" s="63"/>
    </row>
    <row r="778">
      <c r="B778" s="65"/>
      <c r="F778" s="66"/>
      <c r="G778" s="63"/>
    </row>
    <row r="779">
      <c r="B779" s="65"/>
      <c r="F779" s="66"/>
      <c r="G779" s="63"/>
    </row>
    <row r="780">
      <c r="B780" s="65"/>
      <c r="F780" s="66"/>
      <c r="G780" s="63"/>
    </row>
    <row r="781">
      <c r="B781" s="65"/>
      <c r="F781" s="66"/>
      <c r="G781" s="63"/>
    </row>
    <row r="782">
      <c r="B782" s="65"/>
      <c r="F782" s="66"/>
      <c r="G782" s="63"/>
    </row>
    <row r="783">
      <c r="B783" s="65"/>
      <c r="F783" s="66"/>
      <c r="G783" s="63"/>
    </row>
    <row r="784">
      <c r="B784" s="65"/>
      <c r="F784" s="66"/>
      <c r="G784" s="63"/>
    </row>
    <row r="785">
      <c r="B785" s="65"/>
      <c r="F785" s="66"/>
      <c r="G785" s="63"/>
    </row>
    <row r="786">
      <c r="B786" s="65"/>
      <c r="F786" s="66"/>
      <c r="G786" s="63"/>
    </row>
    <row r="787">
      <c r="B787" s="65"/>
      <c r="F787" s="66"/>
      <c r="G787" s="63"/>
    </row>
    <row r="788">
      <c r="B788" s="65"/>
      <c r="F788" s="66"/>
      <c r="G788" s="63"/>
    </row>
    <row r="789">
      <c r="B789" s="65"/>
      <c r="F789" s="66"/>
      <c r="G789" s="63"/>
    </row>
    <row r="790">
      <c r="B790" s="65"/>
      <c r="F790" s="66"/>
      <c r="G790" s="63"/>
    </row>
    <row r="791">
      <c r="B791" s="65"/>
      <c r="F791" s="66"/>
      <c r="G791" s="63"/>
    </row>
    <row r="792">
      <c r="B792" s="65"/>
      <c r="F792" s="66"/>
      <c r="G792" s="63"/>
    </row>
    <row r="793">
      <c r="B793" s="65"/>
      <c r="F793" s="66"/>
      <c r="G793" s="63"/>
    </row>
    <row r="794">
      <c r="B794" s="65"/>
      <c r="F794" s="66"/>
      <c r="G794" s="63"/>
    </row>
    <row r="795">
      <c r="B795" s="65"/>
      <c r="F795" s="66"/>
      <c r="G795" s="63"/>
    </row>
    <row r="796">
      <c r="B796" s="65"/>
      <c r="F796" s="66"/>
      <c r="G796" s="63"/>
    </row>
    <row r="797">
      <c r="B797" s="65"/>
      <c r="F797" s="66"/>
      <c r="G797" s="63"/>
    </row>
    <row r="798">
      <c r="B798" s="65"/>
      <c r="F798" s="66"/>
      <c r="G798" s="63"/>
    </row>
    <row r="799">
      <c r="B799" s="65"/>
      <c r="F799" s="66"/>
      <c r="G799" s="63"/>
    </row>
    <row r="800">
      <c r="B800" s="65"/>
      <c r="F800" s="66"/>
      <c r="G800" s="63"/>
    </row>
    <row r="801">
      <c r="B801" s="65"/>
      <c r="F801" s="66"/>
      <c r="G801" s="63"/>
    </row>
    <row r="802">
      <c r="B802" s="65"/>
      <c r="F802" s="66"/>
      <c r="G802" s="63"/>
    </row>
    <row r="803">
      <c r="B803" s="65"/>
      <c r="F803" s="66"/>
      <c r="G803" s="63"/>
    </row>
    <row r="804">
      <c r="B804" s="65"/>
      <c r="F804" s="66"/>
      <c r="G804" s="63"/>
    </row>
    <row r="805">
      <c r="B805" s="65"/>
      <c r="F805" s="66"/>
      <c r="G805" s="63"/>
    </row>
    <row r="806">
      <c r="B806" s="65"/>
      <c r="F806" s="66"/>
      <c r="G806" s="63"/>
    </row>
    <row r="807">
      <c r="B807" s="65"/>
      <c r="F807" s="66"/>
      <c r="G807" s="63"/>
    </row>
    <row r="808">
      <c r="B808" s="65"/>
      <c r="F808" s="66"/>
      <c r="G808" s="63"/>
    </row>
    <row r="809">
      <c r="B809" s="65"/>
      <c r="F809" s="66"/>
      <c r="G809" s="63"/>
    </row>
    <row r="810">
      <c r="B810" s="65"/>
      <c r="F810" s="66"/>
      <c r="G810" s="63"/>
    </row>
    <row r="811">
      <c r="B811" s="65"/>
      <c r="F811" s="66"/>
      <c r="G811" s="63"/>
    </row>
    <row r="812">
      <c r="B812" s="65"/>
      <c r="F812" s="66"/>
      <c r="G812" s="63"/>
    </row>
    <row r="813">
      <c r="B813" s="65"/>
      <c r="F813" s="66"/>
      <c r="G813" s="63"/>
    </row>
    <row r="814">
      <c r="B814" s="65"/>
      <c r="F814" s="66"/>
      <c r="G814" s="63"/>
    </row>
    <row r="815">
      <c r="B815" s="65"/>
      <c r="F815" s="66"/>
      <c r="G815" s="63"/>
    </row>
    <row r="816">
      <c r="B816" s="65"/>
      <c r="F816" s="66"/>
      <c r="G816" s="63"/>
    </row>
    <row r="817">
      <c r="B817" s="65"/>
      <c r="F817" s="66"/>
      <c r="G817" s="63"/>
    </row>
    <row r="818">
      <c r="B818" s="65"/>
      <c r="F818" s="66"/>
      <c r="G818" s="63"/>
    </row>
    <row r="819">
      <c r="B819" s="65"/>
      <c r="F819" s="66"/>
      <c r="G819" s="63"/>
    </row>
    <row r="820">
      <c r="B820" s="65"/>
      <c r="F820" s="66"/>
      <c r="G820" s="63"/>
    </row>
    <row r="821">
      <c r="B821" s="65"/>
      <c r="F821" s="66"/>
      <c r="G821" s="63"/>
    </row>
    <row r="822">
      <c r="B822" s="65"/>
      <c r="F822" s="66"/>
      <c r="G822" s="63"/>
    </row>
    <row r="823">
      <c r="B823" s="65"/>
      <c r="F823" s="66"/>
      <c r="G823" s="63"/>
    </row>
    <row r="824">
      <c r="B824" s="65"/>
      <c r="F824" s="66"/>
      <c r="G824" s="63"/>
    </row>
    <row r="825">
      <c r="B825" s="65"/>
      <c r="F825" s="66"/>
      <c r="G825" s="63"/>
    </row>
    <row r="826">
      <c r="B826" s="65"/>
      <c r="F826" s="66"/>
      <c r="G826" s="63"/>
    </row>
    <row r="827">
      <c r="B827" s="65"/>
      <c r="F827" s="66"/>
      <c r="G827" s="63"/>
    </row>
    <row r="828">
      <c r="B828" s="65"/>
      <c r="F828" s="66"/>
      <c r="G828" s="63"/>
    </row>
    <row r="829">
      <c r="B829" s="65"/>
      <c r="F829" s="66"/>
      <c r="G829" s="63"/>
    </row>
    <row r="830">
      <c r="B830" s="65"/>
      <c r="F830" s="66"/>
      <c r="G830" s="63"/>
    </row>
    <row r="831">
      <c r="B831" s="65"/>
      <c r="F831" s="66"/>
      <c r="G831" s="63"/>
    </row>
    <row r="832">
      <c r="B832" s="65"/>
      <c r="F832" s="66"/>
      <c r="G832" s="63"/>
    </row>
    <row r="833">
      <c r="B833" s="65"/>
      <c r="F833" s="66"/>
      <c r="G833" s="63"/>
    </row>
    <row r="834">
      <c r="B834" s="65"/>
      <c r="F834" s="66"/>
      <c r="G834" s="63"/>
    </row>
    <row r="835">
      <c r="B835" s="65"/>
      <c r="F835" s="66"/>
      <c r="G835" s="63"/>
    </row>
    <row r="836">
      <c r="B836" s="65"/>
      <c r="F836" s="66"/>
      <c r="G836" s="63"/>
    </row>
    <row r="837">
      <c r="B837" s="65"/>
      <c r="F837" s="66"/>
      <c r="G837" s="63"/>
    </row>
    <row r="838">
      <c r="B838" s="65"/>
      <c r="F838" s="66"/>
      <c r="G838" s="63"/>
    </row>
    <row r="839">
      <c r="B839" s="65"/>
      <c r="F839" s="66"/>
      <c r="G839" s="63"/>
    </row>
    <row r="840">
      <c r="B840" s="65"/>
      <c r="F840" s="66"/>
      <c r="G840" s="63"/>
    </row>
    <row r="841">
      <c r="B841" s="65"/>
      <c r="F841" s="66"/>
      <c r="G841" s="63"/>
    </row>
    <row r="842">
      <c r="B842" s="65"/>
      <c r="F842" s="66"/>
      <c r="G842" s="63"/>
    </row>
    <row r="843">
      <c r="B843" s="65"/>
      <c r="F843" s="66"/>
      <c r="G843" s="63"/>
    </row>
    <row r="844">
      <c r="B844" s="65"/>
      <c r="F844" s="66"/>
      <c r="G844" s="63"/>
    </row>
    <row r="845">
      <c r="B845" s="65"/>
      <c r="F845" s="66"/>
      <c r="G845" s="63"/>
    </row>
    <row r="846">
      <c r="B846" s="65"/>
      <c r="F846" s="66"/>
      <c r="G846" s="63"/>
    </row>
    <row r="847">
      <c r="B847" s="65"/>
      <c r="F847" s="66"/>
      <c r="G847" s="63"/>
    </row>
    <row r="848">
      <c r="B848" s="65"/>
      <c r="F848" s="66"/>
      <c r="G848" s="63"/>
    </row>
    <row r="849">
      <c r="B849" s="65"/>
      <c r="F849" s="66"/>
      <c r="G849" s="63"/>
    </row>
    <row r="850">
      <c r="B850" s="65"/>
      <c r="F850" s="66"/>
      <c r="G850" s="63"/>
    </row>
    <row r="851">
      <c r="B851" s="65"/>
      <c r="F851" s="66"/>
      <c r="G851" s="63"/>
    </row>
    <row r="852">
      <c r="B852" s="65"/>
      <c r="F852" s="66"/>
      <c r="G852" s="63"/>
    </row>
    <row r="853">
      <c r="B853" s="65"/>
      <c r="F853" s="66"/>
      <c r="G853" s="63"/>
    </row>
    <row r="854">
      <c r="B854" s="65"/>
      <c r="F854" s="66"/>
      <c r="G854" s="63"/>
    </row>
    <row r="855">
      <c r="B855" s="65"/>
      <c r="F855" s="66"/>
      <c r="G855" s="63"/>
    </row>
    <row r="856">
      <c r="B856" s="65"/>
      <c r="F856" s="66"/>
      <c r="G856" s="63"/>
    </row>
    <row r="857">
      <c r="B857" s="65"/>
      <c r="F857" s="66"/>
      <c r="G857" s="63"/>
    </row>
    <row r="858">
      <c r="B858" s="65"/>
      <c r="F858" s="66"/>
      <c r="G858" s="63"/>
    </row>
    <row r="859">
      <c r="B859" s="65"/>
      <c r="F859" s="66"/>
      <c r="G859" s="63"/>
    </row>
    <row r="860">
      <c r="B860" s="65"/>
      <c r="F860" s="66"/>
      <c r="G860" s="63"/>
    </row>
    <row r="861">
      <c r="B861" s="65"/>
      <c r="F861" s="66"/>
      <c r="G861" s="63"/>
    </row>
    <row r="862">
      <c r="B862" s="65"/>
      <c r="F862" s="66"/>
      <c r="G862" s="63"/>
    </row>
    <row r="863">
      <c r="B863" s="65"/>
      <c r="F863" s="66"/>
      <c r="G863" s="63"/>
    </row>
    <row r="864">
      <c r="B864" s="65"/>
      <c r="F864" s="66"/>
      <c r="G864" s="63"/>
    </row>
    <row r="865">
      <c r="B865" s="65"/>
      <c r="F865" s="66"/>
      <c r="G865" s="63"/>
    </row>
    <row r="866">
      <c r="B866" s="65"/>
      <c r="F866" s="66"/>
      <c r="G866" s="63"/>
    </row>
    <row r="867">
      <c r="B867" s="65"/>
      <c r="F867" s="66"/>
      <c r="G867" s="63"/>
    </row>
    <row r="868">
      <c r="B868" s="65"/>
      <c r="F868" s="66"/>
      <c r="G868" s="63"/>
    </row>
    <row r="869">
      <c r="B869" s="65"/>
      <c r="F869" s="66"/>
      <c r="G869" s="63"/>
    </row>
    <row r="870">
      <c r="B870" s="65"/>
      <c r="F870" s="66"/>
      <c r="G870" s="63"/>
    </row>
    <row r="871">
      <c r="B871" s="65"/>
      <c r="F871" s="66"/>
      <c r="G871" s="63"/>
    </row>
    <row r="872">
      <c r="B872" s="65"/>
      <c r="F872" s="66"/>
      <c r="G872" s="63"/>
    </row>
    <row r="873">
      <c r="B873" s="65"/>
      <c r="F873" s="66"/>
      <c r="G873" s="63"/>
    </row>
    <row r="874">
      <c r="B874" s="65"/>
      <c r="F874" s="66"/>
      <c r="G874" s="63"/>
    </row>
    <row r="875">
      <c r="B875" s="65"/>
      <c r="F875" s="66"/>
      <c r="G875" s="63"/>
    </row>
    <row r="876">
      <c r="B876" s="65"/>
      <c r="F876" s="66"/>
      <c r="G876" s="63"/>
    </row>
    <row r="877">
      <c r="B877" s="65"/>
      <c r="F877" s="66"/>
      <c r="G877" s="63"/>
    </row>
    <row r="878">
      <c r="B878" s="65"/>
      <c r="F878" s="66"/>
      <c r="G878" s="63"/>
    </row>
    <row r="879">
      <c r="B879" s="65"/>
      <c r="F879" s="66"/>
      <c r="G879" s="63"/>
    </row>
    <row r="880">
      <c r="B880" s="65"/>
      <c r="F880" s="66"/>
      <c r="G880" s="63"/>
    </row>
    <row r="881">
      <c r="B881" s="65"/>
      <c r="F881" s="66"/>
      <c r="G881" s="63"/>
    </row>
    <row r="882">
      <c r="B882" s="65"/>
      <c r="F882" s="66"/>
      <c r="G882" s="63"/>
    </row>
    <row r="883">
      <c r="B883" s="65"/>
      <c r="F883" s="66"/>
      <c r="G883" s="63"/>
    </row>
    <row r="884">
      <c r="B884" s="65"/>
      <c r="F884" s="66"/>
      <c r="G884" s="63"/>
    </row>
    <row r="885">
      <c r="B885" s="65"/>
      <c r="F885" s="66"/>
      <c r="G885" s="63"/>
    </row>
    <row r="886">
      <c r="B886" s="65"/>
      <c r="F886" s="66"/>
      <c r="G886" s="63"/>
    </row>
    <row r="887">
      <c r="B887" s="65"/>
      <c r="F887" s="66"/>
      <c r="G887" s="63"/>
    </row>
    <row r="888">
      <c r="B888" s="65"/>
      <c r="F888" s="66"/>
      <c r="G888" s="63"/>
    </row>
    <row r="889">
      <c r="B889" s="65"/>
      <c r="F889" s="66"/>
      <c r="G889" s="63"/>
    </row>
    <row r="890">
      <c r="B890" s="65"/>
      <c r="F890" s="66"/>
      <c r="G890" s="63"/>
    </row>
    <row r="891">
      <c r="B891" s="65"/>
      <c r="F891" s="66"/>
      <c r="G891" s="63"/>
    </row>
    <row r="892">
      <c r="B892" s="65"/>
      <c r="F892" s="66"/>
      <c r="G892" s="63"/>
    </row>
    <row r="893">
      <c r="B893" s="65"/>
      <c r="F893" s="66"/>
      <c r="G893" s="63"/>
    </row>
    <row r="894">
      <c r="B894" s="65"/>
      <c r="F894" s="66"/>
      <c r="G894" s="63"/>
    </row>
    <row r="895">
      <c r="B895" s="65"/>
      <c r="F895" s="66"/>
      <c r="G895" s="63"/>
    </row>
    <row r="896">
      <c r="B896" s="65"/>
      <c r="F896" s="66"/>
      <c r="G896" s="63"/>
    </row>
    <row r="897">
      <c r="B897" s="65"/>
      <c r="F897" s="66"/>
      <c r="G897" s="63"/>
    </row>
    <row r="898">
      <c r="B898" s="65"/>
      <c r="F898" s="66"/>
      <c r="G898" s="63"/>
    </row>
    <row r="899">
      <c r="B899" s="65"/>
      <c r="F899" s="66"/>
      <c r="G899" s="63"/>
    </row>
    <row r="900">
      <c r="B900" s="65"/>
      <c r="F900" s="66"/>
      <c r="G900" s="63"/>
    </row>
    <row r="901">
      <c r="B901" s="65"/>
      <c r="F901" s="66"/>
      <c r="G901" s="63"/>
    </row>
    <row r="902">
      <c r="B902" s="65"/>
      <c r="F902" s="66"/>
      <c r="G902" s="63"/>
    </row>
    <row r="903">
      <c r="B903" s="65"/>
      <c r="F903" s="66"/>
      <c r="G903" s="63"/>
    </row>
    <row r="904">
      <c r="B904" s="65"/>
      <c r="F904" s="66"/>
      <c r="G904" s="63"/>
    </row>
    <row r="905">
      <c r="B905" s="65"/>
      <c r="F905" s="66"/>
      <c r="G905" s="63"/>
    </row>
    <row r="906">
      <c r="B906" s="65"/>
      <c r="F906" s="66"/>
      <c r="G906" s="63"/>
    </row>
    <row r="907">
      <c r="B907" s="65"/>
      <c r="F907" s="66"/>
      <c r="G907" s="63"/>
    </row>
    <row r="908">
      <c r="B908" s="65"/>
      <c r="F908" s="66"/>
      <c r="G908" s="63"/>
    </row>
    <row r="909">
      <c r="B909" s="65"/>
      <c r="F909" s="66"/>
      <c r="G909" s="63"/>
    </row>
    <row r="910">
      <c r="B910" s="65"/>
      <c r="F910" s="66"/>
      <c r="G910" s="63"/>
    </row>
    <row r="911">
      <c r="B911" s="65"/>
      <c r="F911" s="66"/>
      <c r="G911" s="63"/>
    </row>
    <row r="912">
      <c r="B912" s="65"/>
      <c r="F912" s="66"/>
      <c r="G912" s="63"/>
    </row>
    <row r="913">
      <c r="B913" s="65"/>
      <c r="F913" s="66"/>
      <c r="G913" s="63"/>
    </row>
    <row r="914">
      <c r="B914" s="65"/>
      <c r="F914" s="66"/>
      <c r="G914" s="63"/>
    </row>
    <row r="915">
      <c r="B915" s="65"/>
      <c r="F915" s="66"/>
      <c r="G915" s="63"/>
    </row>
    <row r="916">
      <c r="B916" s="65"/>
      <c r="F916" s="66"/>
      <c r="G916" s="63"/>
    </row>
    <row r="917">
      <c r="B917" s="65"/>
      <c r="F917" s="66"/>
      <c r="G917" s="63"/>
    </row>
    <row r="918">
      <c r="B918" s="65"/>
      <c r="F918" s="66"/>
      <c r="G918" s="63"/>
    </row>
    <row r="919">
      <c r="B919" s="65"/>
      <c r="F919" s="66"/>
      <c r="G919" s="63"/>
    </row>
    <row r="920">
      <c r="B920" s="65"/>
      <c r="F920" s="66"/>
      <c r="G920" s="63"/>
    </row>
    <row r="921">
      <c r="B921" s="65"/>
      <c r="F921" s="66"/>
      <c r="G921" s="63"/>
    </row>
    <row r="922">
      <c r="B922" s="65"/>
      <c r="F922" s="66"/>
      <c r="G922" s="63"/>
    </row>
    <row r="923">
      <c r="B923" s="65"/>
      <c r="F923" s="66"/>
      <c r="G923" s="63"/>
    </row>
    <row r="924">
      <c r="B924" s="65"/>
      <c r="F924" s="66"/>
      <c r="G924" s="63"/>
    </row>
    <row r="925">
      <c r="B925" s="65"/>
      <c r="F925" s="66"/>
      <c r="G925" s="63"/>
    </row>
    <row r="926">
      <c r="B926" s="65"/>
      <c r="F926" s="66"/>
      <c r="G926" s="63"/>
    </row>
    <row r="927">
      <c r="B927" s="65"/>
      <c r="F927" s="66"/>
      <c r="G927" s="63"/>
    </row>
    <row r="928">
      <c r="B928" s="65"/>
      <c r="F928" s="66"/>
      <c r="G928" s="63"/>
    </row>
    <row r="929">
      <c r="B929" s="65"/>
      <c r="F929" s="66"/>
      <c r="G929" s="63"/>
    </row>
    <row r="930">
      <c r="B930" s="65"/>
      <c r="F930" s="66"/>
      <c r="G930" s="63"/>
    </row>
    <row r="931">
      <c r="B931" s="65"/>
      <c r="F931" s="66"/>
      <c r="G931" s="63"/>
    </row>
    <row r="932">
      <c r="B932" s="65"/>
      <c r="F932" s="66"/>
      <c r="G932" s="63"/>
    </row>
    <row r="933">
      <c r="B933" s="65"/>
      <c r="F933" s="66"/>
      <c r="G933" s="63"/>
    </row>
    <row r="934">
      <c r="B934" s="65"/>
      <c r="F934" s="66"/>
      <c r="G934" s="63"/>
    </row>
    <row r="935">
      <c r="B935" s="65"/>
      <c r="F935" s="66"/>
      <c r="G935" s="63"/>
    </row>
    <row r="936">
      <c r="B936" s="65"/>
      <c r="F936" s="66"/>
      <c r="G936" s="63"/>
    </row>
    <row r="937">
      <c r="B937" s="65"/>
      <c r="F937" s="66"/>
      <c r="G937" s="63"/>
    </row>
    <row r="938">
      <c r="B938" s="65"/>
      <c r="F938" s="66"/>
      <c r="G938" s="63"/>
    </row>
    <row r="939">
      <c r="B939" s="65"/>
      <c r="F939" s="66"/>
      <c r="G939" s="63"/>
    </row>
    <row r="940">
      <c r="B940" s="65"/>
      <c r="F940" s="66"/>
      <c r="G940" s="63"/>
    </row>
    <row r="941">
      <c r="B941" s="65"/>
      <c r="F941" s="66"/>
      <c r="G941" s="63"/>
    </row>
    <row r="942">
      <c r="B942" s="65"/>
      <c r="F942" s="66"/>
      <c r="G942" s="63"/>
    </row>
    <row r="943">
      <c r="B943" s="65"/>
      <c r="F943" s="66"/>
      <c r="G943" s="63"/>
    </row>
    <row r="944">
      <c r="B944" s="65"/>
      <c r="F944" s="66"/>
      <c r="G944" s="63"/>
    </row>
    <row r="945">
      <c r="B945" s="65"/>
      <c r="F945" s="66"/>
      <c r="G945" s="63"/>
    </row>
    <row r="946">
      <c r="B946" s="65"/>
      <c r="F946" s="66"/>
      <c r="G946" s="63"/>
    </row>
    <row r="947">
      <c r="B947" s="65"/>
      <c r="F947" s="66"/>
      <c r="G947" s="63"/>
    </row>
    <row r="948">
      <c r="B948" s="65"/>
      <c r="F948" s="66"/>
      <c r="G948" s="63"/>
    </row>
    <row r="949">
      <c r="B949" s="65"/>
      <c r="F949" s="66"/>
      <c r="G949" s="63"/>
    </row>
    <row r="950">
      <c r="B950" s="65"/>
      <c r="F950" s="66"/>
      <c r="G950" s="63"/>
    </row>
    <row r="951">
      <c r="B951" s="65"/>
      <c r="F951" s="66"/>
      <c r="G951" s="63"/>
    </row>
    <row r="952">
      <c r="B952" s="65"/>
      <c r="F952" s="66"/>
      <c r="G952" s="63"/>
    </row>
    <row r="953">
      <c r="B953" s="65"/>
      <c r="F953" s="66"/>
      <c r="G953" s="63"/>
    </row>
    <row r="954">
      <c r="B954" s="65"/>
      <c r="F954" s="66"/>
      <c r="G954" s="63"/>
    </row>
    <row r="955">
      <c r="B955" s="65"/>
      <c r="F955" s="66"/>
      <c r="G955" s="63"/>
    </row>
    <row r="956">
      <c r="B956" s="65"/>
      <c r="F956" s="66"/>
      <c r="G956" s="63"/>
    </row>
    <row r="957">
      <c r="B957" s="65"/>
      <c r="F957" s="66"/>
      <c r="G957" s="63"/>
    </row>
    <row r="958">
      <c r="B958" s="65"/>
      <c r="F958" s="66"/>
      <c r="G958" s="63"/>
    </row>
    <row r="959">
      <c r="B959" s="65"/>
      <c r="F959" s="66"/>
      <c r="G959" s="63"/>
    </row>
    <row r="960">
      <c r="B960" s="65"/>
      <c r="F960" s="66"/>
      <c r="G960" s="63"/>
    </row>
    <row r="961">
      <c r="B961" s="65"/>
      <c r="F961" s="66"/>
      <c r="G961" s="63"/>
    </row>
    <row r="962">
      <c r="B962" s="65"/>
      <c r="F962" s="66"/>
      <c r="G962" s="63"/>
    </row>
    <row r="963">
      <c r="B963" s="65"/>
      <c r="F963" s="66"/>
      <c r="G963" s="63"/>
    </row>
    <row r="964">
      <c r="B964" s="65"/>
      <c r="F964" s="66"/>
      <c r="G964" s="63"/>
    </row>
    <row r="965">
      <c r="B965" s="65"/>
      <c r="F965" s="66"/>
      <c r="G965" s="63"/>
    </row>
    <row r="966">
      <c r="B966" s="65"/>
      <c r="F966" s="66"/>
      <c r="G966" s="63"/>
    </row>
    <row r="967">
      <c r="B967" s="65"/>
      <c r="F967" s="66"/>
      <c r="G967" s="63"/>
    </row>
    <row r="968">
      <c r="B968" s="65"/>
      <c r="F968" s="66"/>
      <c r="G968" s="63"/>
    </row>
    <row r="969">
      <c r="B969" s="65"/>
      <c r="F969" s="66"/>
      <c r="G969" s="63"/>
    </row>
    <row r="970">
      <c r="B970" s="65"/>
      <c r="F970" s="66"/>
      <c r="G970" s="63"/>
    </row>
    <row r="971">
      <c r="B971" s="65"/>
      <c r="F971" s="66"/>
      <c r="G971" s="63"/>
    </row>
    <row r="972">
      <c r="B972" s="65"/>
      <c r="F972" s="66"/>
      <c r="G972" s="63"/>
    </row>
    <row r="973">
      <c r="B973" s="65"/>
      <c r="F973" s="66"/>
      <c r="G973" s="63"/>
    </row>
    <row r="974">
      <c r="B974" s="65"/>
      <c r="F974" s="66"/>
      <c r="G974" s="63"/>
    </row>
    <row r="975">
      <c r="B975" s="65"/>
      <c r="F975" s="66"/>
      <c r="G975" s="63"/>
    </row>
    <row r="976">
      <c r="B976" s="65"/>
      <c r="F976" s="66"/>
      <c r="G976" s="63"/>
    </row>
    <row r="977">
      <c r="B977" s="65"/>
      <c r="F977" s="66"/>
      <c r="G977" s="63"/>
    </row>
    <row r="978">
      <c r="B978" s="65"/>
      <c r="F978" s="66"/>
      <c r="G978" s="63"/>
    </row>
    <row r="979">
      <c r="B979" s="65"/>
      <c r="F979" s="66"/>
      <c r="G979" s="63"/>
    </row>
    <row r="980">
      <c r="B980" s="65"/>
      <c r="F980" s="66"/>
      <c r="G980" s="63"/>
    </row>
    <row r="981">
      <c r="B981" s="65"/>
      <c r="F981" s="66"/>
      <c r="G981" s="63"/>
    </row>
    <row r="982">
      <c r="B982" s="65"/>
      <c r="F982" s="66"/>
      <c r="G982" s="63"/>
    </row>
    <row r="983">
      <c r="B983" s="65"/>
      <c r="F983" s="66"/>
      <c r="G983" s="63"/>
    </row>
    <row r="984">
      <c r="B984" s="65"/>
      <c r="F984" s="66"/>
      <c r="G984" s="63"/>
    </row>
    <row r="985">
      <c r="B985" s="65"/>
      <c r="F985" s="66"/>
      <c r="G985" s="63"/>
    </row>
    <row r="986">
      <c r="B986" s="65"/>
      <c r="F986" s="66"/>
      <c r="G986" s="63"/>
    </row>
    <row r="987">
      <c r="B987" s="65"/>
      <c r="F987" s="66"/>
      <c r="G987" s="63"/>
    </row>
    <row r="988">
      <c r="B988" s="65"/>
      <c r="F988" s="66"/>
      <c r="G988" s="63"/>
    </row>
    <row r="989">
      <c r="B989" s="65"/>
      <c r="F989" s="66"/>
      <c r="G989" s="63"/>
    </row>
    <row r="990">
      <c r="B990" s="65"/>
      <c r="F990" s="66"/>
      <c r="G990" s="63"/>
    </row>
    <row r="991">
      <c r="B991" s="65"/>
      <c r="F991" s="66"/>
      <c r="G991" s="63"/>
    </row>
    <row r="992">
      <c r="B992" s="65"/>
      <c r="F992" s="66"/>
      <c r="G992" s="63"/>
    </row>
    <row r="993">
      <c r="B993" s="65"/>
      <c r="F993" s="66"/>
      <c r="G993" s="63"/>
    </row>
    <row r="994">
      <c r="B994" s="65"/>
      <c r="F994" s="66"/>
      <c r="G994" s="63"/>
    </row>
    <row r="995">
      <c r="B995" s="65"/>
      <c r="F995" s="66"/>
      <c r="G995" s="63"/>
    </row>
    <row r="996">
      <c r="B996" s="65"/>
      <c r="F996" s="66"/>
      <c r="G996" s="63"/>
    </row>
    <row r="997">
      <c r="B997" s="65"/>
      <c r="F997" s="66"/>
      <c r="G997" s="63"/>
    </row>
    <row r="998">
      <c r="B998" s="65"/>
      <c r="F998" s="66"/>
      <c r="G998" s="63"/>
    </row>
    <row r="999">
      <c r="B999" s="65"/>
      <c r="F999" s="66"/>
      <c r="G999" s="63"/>
    </row>
    <row r="1000">
      <c r="B1000" s="65"/>
      <c r="F1000" s="66"/>
      <c r="G1000" s="63"/>
    </row>
  </sheetData>
  <mergeCells count="1">
    <mergeCell ref="G2:G5"/>
  </mergeCells>
  <conditionalFormatting sqref="B2:B1000">
    <cfRule type="expression" dxfId="3" priority="1">
      <formula>AND(NOT(isdate(B2)),NOT(ISBLANK(B2)))</formula>
    </cfRule>
  </conditionalFormatting>
  <conditionalFormatting sqref="B10">
    <cfRule type="notContainsBlanks" dxfId="6" priority="2">
      <formula>LEN(TRIM(B10))&gt;0</formula>
    </cfRule>
  </conditionalFormatting>
  <conditionalFormatting sqref="F2:F1000">
    <cfRule type="cellIs" dxfId="3" priority="3" operator="greaterThan">
      <formula>100</formula>
    </cfRule>
  </conditionalFormatting>
  <conditionalFormatting sqref="F2:F1000">
    <cfRule type="expression" dxfId="3" priority="4">
      <formula>AND(NOT(ISNUMBER(F2)),NOT(ISBLANK(F2)))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">
        <v>45983.0</v>
      </c>
      <c r="B1" s="17" t="s">
        <v>176</v>
      </c>
      <c r="C1" s="17" t="s">
        <v>177</v>
      </c>
      <c r="D1" s="68">
        <v>120.0</v>
      </c>
    </row>
    <row r="2">
      <c r="A2" s="67">
        <v>45980.0</v>
      </c>
      <c r="B2" s="17" t="s">
        <v>140</v>
      </c>
      <c r="C2" s="17" t="s">
        <v>104</v>
      </c>
      <c r="D2" s="68">
        <v>120.0</v>
      </c>
      <c r="K2" s="69"/>
    </row>
    <row r="3">
      <c r="A3" s="67">
        <v>45980.0</v>
      </c>
      <c r="B3" s="17" t="s">
        <v>140</v>
      </c>
      <c r="C3" s="17" t="s">
        <v>178</v>
      </c>
      <c r="D3" s="68">
        <v>120.0</v>
      </c>
    </row>
    <row r="4">
      <c r="B4" s="17" t="s">
        <v>140</v>
      </c>
      <c r="C4" s="17" t="s">
        <v>100</v>
      </c>
      <c r="D4" s="68">
        <v>120.0</v>
      </c>
    </row>
    <row r="12">
      <c r="L12" s="17"/>
      <c r="M12" s="17"/>
      <c r="N12" s="17"/>
      <c r="O12" s="17" t="s">
        <v>179</v>
      </c>
      <c r="P12" s="17" t="s">
        <v>179</v>
      </c>
    </row>
    <row r="13">
      <c r="L13" s="17"/>
      <c r="M13" s="17"/>
      <c r="N13" s="17"/>
      <c r="O13" s="17"/>
      <c r="P13" s="17"/>
    </row>
    <row r="14">
      <c r="L14" s="17"/>
      <c r="M14" s="17"/>
      <c r="N14" s="17"/>
      <c r="O14" s="17"/>
      <c r="P14" s="17"/>
    </row>
    <row r="15">
      <c r="L15" s="17"/>
      <c r="M15" s="17"/>
      <c r="N15" s="17"/>
      <c r="O15" s="17"/>
      <c r="P15" s="17"/>
    </row>
    <row r="16">
      <c r="L16" s="17"/>
      <c r="M16" s="17"/>
      <c r="N16" s="17"/>
      <c r="O16" s="17"/>
      <c r="P16" s="17"/>
    </row>
    <row r="17">
      <c r="L17" s="17"/>
      <c r="M17" s="17"/>
      <c r="N17" s="17"/>
      <c r="O17" s="17"/>
      <c r="P17" s="17"/>
    </row>
    <row r="18">
      <c r="L18" s="17"/>
      <c r="M18" s="17"/>
      <c r="N18" s="17"/>
      <c r="O18" s="17"/>
      <c r="P18" s="17"/>
    </row>
    <row r="19">
      <c r="L19" s="17"/>
      <c r="M19" s="17"/>
      <c r="N19" s="17"/>
      <c r="O19" s="17"/>
      <c r="P19" s="17" t="s">
        <v>179</v>
      </c>
    </row>
    <row r="20">
      <c r="L20" s="17"/>
      <c r="M20" s="17"/>
      <c r="N20" s="17"/>
      <c r="O20" s="17" t="s">
        <v>179</v>
      </c>
      <c r="P20" s="17" t="s">
        <v>179</v>
      </c>
    </row>
    <row r="21">
      <c r="L21" s="70"/>
      <c r="M21" s="70"/>
      <c r="N21" s="70"/>
      <c r="O21" s="70" t="s">
        <v>180</v>
      </c>
    </row>
    <row r="22">
      <c r="L22" s="69"/>
      <c r="M22" s="69"/>
      <c r="N22" s="69"/>
      <c r="O22" s="69"/>
    </row>
    <row r="23">
      <c r="L23" s="69"/>
      <c r="M23" s="69"/>
      <c r="N23" s="69"/>
      <c r="O23" s="69"/>
    </row>
    <row r="24">
      <c r="L24" s="69"/>
      <c r="M24" s="69"/>
      <c r="N24" s="69"/>
      <c r="O24" s="69"/>
    </row>
  </sheetData>
  <drawing r:id="rId1"/>
</worksheet>
</file>